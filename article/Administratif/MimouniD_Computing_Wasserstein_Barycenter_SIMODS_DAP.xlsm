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mounid\article_Wasserstein\Administratif\"/>
    </mc:Choice>
  </mc:AlternateContent>
  <xr:revisionPtr revIDLastSave="0" documentId="13_ncr:1_{4CFB71BC-EB01-4F66-8DFF-5A17FDC5E439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Lisez-moi!" sheetId="9" r:id="rId1"/>
    <sheet name="Formulaire" sheetId="6" r:id="rId2"/>
    <sheet name="Paramètres" sheetId="4" state="veryHidden" r:id="rId3"/>
    <sheet name="Versions" sheetId="10" state="veryHidden" r:id="rId4"/>
  </sheets>
  <functionGroups builtInGroupCount="19"/>
  <definedNames>
    <definedName name="_AUTHOR">Formulaire!$H$9</definedName>
    <definedName name="_CURRENT_STEP" localSheetId="1">Formulaire!$H$2</definedName>
    <definedName name="_FORM_CP_STEP_1" localSheetId="1">Formulaire!$E$19</definedName>
    <definedName name="_FORM_CP_STEP_3" localSheetId="1">Formulaire!$C$31</definedName>
    <definedName name="_FORM_DATA" localSheetId="1">Formulaire!$C$7,Formulaire!$E$7,Formulaire!$C$9,Formulaire!$E$9,Formulaire!$C$11,Formulaire!$C$13,Formulaire!$C$15,Formulaire!$C$17,Formulaire!$C$19,Formulaire!$E$19,Formulaire!$C$21,Formulaire!$C$23,Formulaire!$C$27,Formulaire!$E$27,Formulaire!$C$53,Formulaire!$E$53,Formulaire!$C$55,Formulaire!$E$55,Formulaire!$C$57,Formulaire!$C$31,Formulaire!$E$31,Formulaire!$C$36,Formulaire!$C$38,Formulaire!$C$40,Formulaire!$E$40,Formulaire!$C$44,Formulaire!$E$44,Formulaire!$E$46,Formulaire!$C$49,Formulaire!$E$49</definedName>
    <definedName name="_FORM_DATE_1" localSheetId="1">Formulaire!$E$7</definedName>
    <definedName name="_FORM_DATE_2" localSheetId="1">Formulaire!$E$53</definedName>
    <definedName name="_FORM_DATE_3" localSheetId="1">Formulaire!$E$31</definedName>
    <definedName name="_FORM_DEFI" localSheetId="1">Formulaire!$C$23</definedName>
    <definedName name="_FORM_NOK_ETAP_2" localSheetId="1">Formulaire!$C$55</definedName>
    <definedName name="_FORM_NOK_ETAP_3" localSheetId="1">Formulaire!$C$49</definedName>
    <definedName name="_FORM_STEP_1" localSheetId="1">Formulaire!$H$6</definedName>
    <definedName name="_FORM_STEP_2" localSheetId="1">Formulaire!$H$52</definedName>
    <definedName name="_FORM_STEP_3" localSheetId="1">Formulaire!$H$30</definedName>
    <definedName name="_FORM_USER" localSheetId="1">Formulaire!$C$7</definedName>
    <definedName name="_FORM_VERROU" localSheetId="1">Formulaire!$C$21</definedName>
    <definedName name="_TYPE_PUBLIC">TabTypePublic[Type de publication]</definedName>
    <definedName name="_USER" localSheetId="2">Paramètres!$B$3</definedName>
    <definedName name="_VERROUS">TabVerrous[Verrous]</definedName>
    <definedName name="_VS1_DEFI">Paramètres!$N$3:$N$8</definedName>
    <definedName name="_VS1_LIBELLE">Paramètres!$O$3:$O$12</definedName>
    <definedName name="_VS10_DEFI">Paramètres!$AF$3</definedName>
    <definedName name="_VS10_LIBELLE">Paramètres!$AG$3</definedName>
    <definedName name="_VS2_DEFI">Paramètres!$P$3:$P$11</definedName>
    <definedName name="_VS2_LIBELLE">Paramètres!$Q$3:$Q$11</definedName>
    <definedName name="_VS3_DEFI">Paramètres!$R$3:$R$7</definedName>
    <definedName name="_VS3_LIBELLE">Paramètres!$S$3:$S$7</definedName>
    <definedName name="_VS4_DEFI">Paramètres!$T$3:$T$6</definedName>
    <definedName name="_VS4_LIBELLE">Paramètres!$U$3:$U$6</definedName>
    <definedName name="_VS5_DEFI">Paramètres!$V$3:$V$11</definedName>
    <definedName name="_VS5_LIBELLE">Paramètres!$W$3:$W$11</definedName>
    <definedName name="_VS6_DEFI">Paramètres!$X$3:$X$6</definedName>
    <definedName name="_VS6_LIBELLE">Paramètres!$Y$3:$Y$6</definedName>
    <definedName name="_VS7_DEFI">Paramètres!$Z$3:$Z$6</definedName>
    <definedName name="_VS7_LIBELLE">Paramètres!$AA$3:$AA$6</definedName>
    <definedName name="_VS8_DEFI">Paramètres!$AB$3:$AB$6</definedName>
    <definedName name="_VS8_LIBELLE">Paramètres!$AC$3:$AC$6</definedName>
    <definedName name="_VS9_DEFI">Paramètres!$AD$3:$AD$5</definedName>
    <definedName name="_VS9_LIBELLE">Paramètres!$AE$3:$AE$5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1" i="6" l="1"/>
  <c r="B29" i="6"/>
  <c r="H6" i="6"/>
  <c r="G3" i="4" l="1"/>
  <c r="G7" i="4" l="1"/>
  <c r="I5" i="4"/>
  <c r="J7" i="4"/>
  <c r="I7" i="4"/>
  <c r="H7" i="4"/>
  <c r="J5" i="4"/>
  <c r="H52" i="6"/>
  <c r="H30" i="6" s="1"/>
  <c r="B65" i="6" l="1"/>
  <c r="B60" i="6"/>
  <c r="B5" i="6"/>
</calcChain>
</file>

<file path=xl/sharedStrings.xml><?xml version="1.0" encoding="utf-8"?>
<sst xmlns="http://schemas.openxmlformats.org/spreadsheetml/2006/main" count="291" uniqueCount="251">
  <si>
    <t>Mode d'emploi</t>
  </si>
  <si>
    <t>Aide</t>
  </si>
  <si>
    <r>
      <rPr>
        <sz val="10"/>
        <color indexed="30"/>
        <rFont val="Wingdings"/>
        <charset val="2"/>
      </rPr>
      <t>í</t>
    </r>
    <r>
      <rPr>
        <i/>
        <sz val="10"/>
        <color indexed="30"/>
        <rFont val="Calibri"/>
        <family val="2"/>
      </rPr>
      <t xml:space="preserve">     </t>
    </r>
    <r>
      <rPr>
        <i/>
        <sz val="10"/>
        <color indexed="30"/>
        <rFont val="Calibri"/>
        <family val="2"/>
      </rPr>
      <t>Cliquez, à gauche, dans l'arborescence (+ ou - afin de développer/réduire les rubriques ci-dessous)</t>
    </r>
  </si>
  <si>
    <t>Légende des couleurs</t>
  </si>
  <si>
    <t>Renseignements complémentaires</t>
  </si>
  <si>
    <t>Rappel</t>
  </si>
  <si>
    <t>Version</t>
  </si>
  <si>
    <t>Date d'application</t>
  </si>
  <si>
    <t>Objet de la modification</t>
  </si>
  <si>
    <t>Auteur</t>
  </si>
  <si>
    <t>Visa</t>
  </si>
  <si>
    <t>Création du fichier</t>
  </si>
  <si>
    <t>BOTELLA Marc</t>
  </si>
  <si>
    <t>MALLARET Pascale</t>
  </si>
  <si>
    <t>Date</t>
  </si>
  <si>
    <t xml:space="preserve">VS1 Caractériser les matériaux et les fluides pour l’énergie aux différentes échelles </t>
  </si>
  <si>
    <t xml:space="preserve">VS2 Mécanismes réactionnels </t>
  </si>
  <si>
    <t>VS3 Effet du confinement et phénomènes aux interfaces</t>
  </si>
  <si>
    <t>VS4 Science des données</t>
  </si>
  <si>
    <t>VS5 Descripteurs</t>
  </si>
  <si>
    <t xml:space="preserve">VS6 Modélisation des phénomènes fortement couplés dans une perspective de changement d’échelle </t>
  </si>
  <si>
    <t xml:space="preserve">VS7 Commande et optimisation des systèmes réels complexes </t>
  </si>
  <si>
    <t xml:space="preserve">VS8 Performance des codes </t>
  </si>
  <si>
    <t xml:space="preserve">VS9 Évaluer les enjeux économiques et environnementaux de la transition énergétique. Aide à la décision pour l’innovation </t>
  </si>
  <si>
    <t>1.1</t>
  </si>
  <si>
    <t>1.2</t>
  </si>
  <si>
    <t>1.3</t>
  </si>
  <si>
    <t>1.6</t>
  </si>
  <si>
    <t>1.7</t>
  </si>
  <si>
    <t>1.8</t>
  </si>
  <si>
    <t>_VS1_DEFI</t>
  </si>
  <si>
    <t>_VS1_LIBELLE</t>
  </si>
  <si>
    <t>_VS9_DEFI</t>
  </si>
  <si>
    <t>_VS9_LIBELLE</t>
  </si>
  <si>
    <t>_VS8_DEFI</t>
  </si>
  <si>
    <t>_VS2_DEFI</t>
  </si>
  <si>
    <t>_VS2_LIBELLE</t>
  </si>
  <si>
    <t>_VS3_DEFI</t>
  </si>
  <si>
    <t>_VS3_LIBELLE</t>
  </si>
  <si>
    <t>_VS4_DEFI</t>
  </si>
  <si>
    <t>_VS4_LIBELLE</t>
  </si>
  <si>
    <t>_VS5_DEFI</t>
  </si>
  <si>
    <t>_VS5_LIBELLE</t>
  </si>
  <si>
    <t>_VS6_DEFI</t>
  </si>
  <si>
    <t>_VS6_LIBELLE</t>
  </si>
  <si>
    <t>_VS7_DEFI</t>
  </si>
  <si>
    <t>_VS7_LIBELLE</t>
  </si>
  <si>
    <t>2.1</t>
  </si>
  <si>
    <t>2.2</t>
  </si>
  <si>
    <t>2.5</t>
  </si>
  <si>
    <t>2.13</t>
  </si>
  <si>
    <t>2.14</t>
  </si>
  <si>
    <t>2.15</t>
  </si>
  <si>
    <t>2.16</t>
  </si>
  <si>
    <t>2.17</t>
  </si>
  <si>
    <t>2.18</t>
  </si>
  <si>
    <t>3.3</t>
  </si>
  <si>
    <t>3.5</t>
  </si>
  <si>
    <t>3.6</t>
  </si>
  <si>
    <t>3.8</t>
  </si>
  <si>
    <t>3.9</t>
  </si>
  <si>
    <t>4.1</t>
  </si>
  <si>
    <t>4.3</t>
  </si>
  <si>
    <t>4.7</t>
  </si>
  <si>
    <t>4.8</t>
  </si>
  <si>
    <t>5.3</t>
  </si>
  <si>
    <t>5.9</t>
  </si>
  <si>
    <t>5.10</t>
  </si>
  <si>
    <t>5.11</t>
  </si>
  <si>
    <t>5.12</t>
  </si>
  <si>
    <t>5.13</t>
  </si>
  <si>
    <t>5.14</t>
  </si>
  <si>
    <t>5.15</t>
  </si>
  <si>
    <t>5.16</t>
  </si>
  <si>
    <t>6.1</t>
  </si>
  <si>
    <t>6.8</t>
  </si>
  <si>
    <t>6.9</t>
  </si>
  <si>
    <t>6.10</t>
  </si>
  <si>
    <t>7.1</t>
  </si>
  <si>
    <t>7.2</t>
  </si>
  <si>
    <t>7.3</t>
  </si>
  <si>
    <t>7.4</t>
  </si>
  <si>
    <t>8.1</t>
  </si>
  <si>
    <t>8.2</t>
  </si>
  <si>
    <t>8.3</t>
  </si>
  <si>
    <t>8.4</t>
  </si>
  <si>
    <t>9.1</t>
  </si>
  <si>
    <t>9.2</t>
  </si>
  <si>
    <t>9.3</t>
  </si>
  <si>
    <t>_VS8_LIBELLE</t>
  </si>
  <si>
    <t>Verrous</t>
  </si>
  <si>
    <t>_VERROUS</t>
  </si>
  <si>
    <t>Le demandeur autorise IFPEN à déposer son article dans HAL-IFPEN</t>
  </si>
  <si>
    <t xml:space="preserve">Le demandeur a averti tous ses co-auteurs, y compris extérieurs, de la mise en dépôt de cette publication dans HAL-IFPEN </t>
  </si>
  <si>
    <t>Brevets et protection de l'exploitation industrielle</t>
  </si>
  <si>
    <t>Cette publication risque-t-elle de gêner :</t>
  </si>
  <si>
    <t>Respect des obligations contractuelles</t>
  </si>
  <si>
    <t>Dépôt des articles dans HAL-IFPEN : Archive ouverte institutionnelle d'IFPEN</t>
  </si>
  <si>
    <t>Si non, motif :</t>
  </si>
  <si>
    <t>Nom des partenaires éventuels</t>
  </si>
  <si>
    <r>
      <rPr>
        <b/>
        <i/>
        <sz val="10"/>
        <color rgb="FFFF0000"/>
        <rFont val="Calibri"/>
        <family val="2"/>
        <scheme val="minor"/>
      </rPr>
      <t>Veuillez faire  parvenir une copie complète de la version publiée</t>
    </r>
    <r>
      <rPr>
        <i/>
        <sz val="10"/>
        <rFont val="Calibri"/>
        <family val="2"/>
        <scheme val="minor"/>
      </rPr>
      <t xml:space="preserve">, accompagnée de la page de titre du support et d'un résumé en français ou en anglais à la Direction Scientifique </t>
    </r>
    <r>
      <rPr>
        <i/>
        <u/>
        <sz val="11"/>
        <color theme="10"/>
        <rFont val="Calibri"/>
        <family val="2"/>
        <scheme val="minor"/>
      </rPr>
      <t>(BasePublications)</t>
    </r>
  </si>
  <si>
    <t>Objectif</t>
  </si>
  <si>
    <t>Donnée obligatoire manquante</t>
  </si>
  <si>
    <t>Pour toute information concernant ce document, merci de joindre Françoise Bertrand (71.90) - francoise.bertrand@ifpen.fr</t>
  </si>
  <si>
    <t>0.01</t>
  </si>
  <si>
    <t>NOM Prénom</t>
  </si>
  <si>
    <t>Chef de Projet</t>
  </si>
  <si>
    <t>Type de publication</t>
  </si>
  <si>
    <t>Article pour revue scientifique</t>
  </si>
  <si>
    <t>Article pour revue généraliste</t>
  </si>
  <si>
    <t>Communication invitée à congrès scientifique</t>
  </si>
  <si>
    <t>Communication à congrès scientifique</t>
  </si>
  <si>
    <t>Poster à congrès scientifique</t>
  </si>
  <si>
    <t>Ouvrage</t>
  </si>
  <si>
    <t>0.02</t>
  </si>
  <si>
    <t>Envoi mails</t>
  </si>
  <si>
    <t>Champ</t>
  </si>
  <si>
    <t>A</t>
  </si>
  <si>
    <t>Cc</t>
  </si>
  <si>
    <t>Cci</t>
  </si>
  <si>
    <t>Objet</t>
  </si>
  <si>
    <t>Texte</t>
  </si>
  <si>
    <t>VS10 Autre (projet DNP)</t>
  </si>
  <si>
    <t>_VS10_DEFI</t>
  </si>
  <si>
    <t>_VS10_LIBELLE</t>
  </si>
  <si>
    <t>Etape 1</t>
  </si>
  <si>
    <t>Etape 2</t>
  </si>
  <si>
    <t>Etape 3</t>
  </si>
  <si>
    <t>Veuillez faire parvenir cette D.A.P. sous format électronique à la Direction Scientifique (BasePublications) pour enregistrement, copie électronique à la Direction Juridique (Catherine Tondat).</t>
  </si>
  <si>
    <r>
      <rPr>
        <i/>
        <sz val="11"/>
        <rFont val="Calibri"/>
        <family val="2"/>
        <scheme val="minor"/>
      </rPr>
      <t xml:space="preserve"> Pour tout renseignement concernant la saisie, adressez-vous à Françoise Bertrand (71.90) - </t>
    </r>
    <r>
      <rPr>
        <i/>
        <u/>
        <sz val="11"/>
        <color theme="10"/>
        <rFont val="Calibri"/>
        <family val="2"/>
        <scheme val="minor"/>
      </rPr>
      <t>francoise.bertrand@ifpen.fr</t>
    </r>
  </si>
  <si>
    <t>BasePublications@ifpenergiesnouvelles.fr</t>
  </si>
  <si>
    <t>Article pour revue scientifique dans WOS</t>
  </si>
  <si>
    <t>Contribution à ouvrage</t>
  </si>
  <si>
    <t>Etape</t>
  </si>
  <si>
    <t>Utilisateur</t>
  </si>
  <si>
    <t>catherine.tondat@ifpen.fr</t>
  </si>
  <si>
    <t>[DAP] Etape n°4 – Après visa</t>
  </si>
  <si>
    <t>[DAP] Etape n°3 - Avis du chef de projet</t>
  </si>
  <si>
    <t>[DAP] Etape n°2 - Avis du directeur ou de l’adjoint scientifique au directeur</t>
  </si>
  <si>
    <t>1</t>
  </si>
  <si>
    <t>2</t>
  </si>
  <si>
    <t>3</t>
  </si>
  <si>
    <t>0</t>
  </si>
  <si>
    <t>[DAP] Refus de la demande</t>
  </si>
  <si>
    <t>Champs obligatoires</t>
  </si>
  <si>
    <r>
      <t>Demandeur (1</t>
    </r>
    <r>
      <rPr>
        <i/>
        <vertAlign val="superscript"/>
        <sz val="10"/>
        <color theme="1"/>
        <rFont val="Calibri"/>
        <family val="2"/>
        <scheme val="minor"/>
      </rPr>
      <t>er</t>
    </r>
    <r>
      <rPr>
        <i/>
        <sz val="10"/>
        <color theme="1"/>
        <rFont val="Calibri"/>
        <family val="2"/>
        <scheme val="minor"/>
      </rPr>
      <t xml:space="preserve"> auteur IFP Energies nouvelles)</t>
    </r>
  </si>
  <si>
    <t>Titre de la revue/du congrès (congrès : préciser sigle et titre développé)</t>
  </si>
  <si>
    <t>N° de Projet-étude</t>
  </si>
  <si>
    <t>Verrou scientifique</t>
  </si>
  <si>
    <t>Défi</t>
  </si>
  <si>
    <t>Accord sur le texte définitif</t>
  </si>
  <si>
    <t>Respect des consignes d'écriture des affiliations auteurs</t>
  </si>
  <si>
    <t>Le dépôt de brevets ?</t>
  </si>
  <si>
    <t>Les actions de développement industriel ?</t>
  </si>
  <si>
    <t>Les relations commerciales avec un partenaire ou un client ?</t>
  </si>
  <si>
    <t>Le travail a-t-il été conduit dans le cadre d'un contrat ?</t>
  </si>
  <si>
    <t>Si oui, l'autorisation écrite des partenaires a-t-elle été obtenue ?</t>
  </si>
  <si>
    <t>Décision du chef de projet</t>
  </si>
  <si>
    <t>Si refus, motif :</t>
  </si>
  <si>
    <t>ETAPE 1</t>
  </si>
  <si>
    <t>ETAPE 2</t>
  </si>
  <si>
    <t>ETAPE 3</t>
  </si>
  <si>
    <t>REFUS DAP</t>
  </si>
  <si>
    <t>Liste des auteurs (NOM Prénom, Affiliation externe / Section pour les auteurs internes)</t>
  </si>
  <si>
    <t>Année de  parution/communication prévue (sur 4 digits)</t>
  </si>
  <si>
    <t>Pour un congrès, Lieu (Ville-Pays)/Date(s)</t>
  </si>
  <si>
    <t>Nom du chef de projet</t>
  </si>
  <si>
    <t>1.1 - Caractérisation OPERANDO des systèmes d’intérêt pour IFPEN</t>
  </si>
  <si>
    <t>1.2 - Description physico-chimique des fluides</t>
  </si>
  <si>
    <t xml:space="preserve">1.3 - Caractérisation multi-échelles des systèmes poreux </t>
  </si>
  <si>
    <t>1.6 - Outils de caractérisation pour les matériaux pour les motorisations du futur</t>
  </si>
  <si>
    <t xml:space="preserve">1.7 - Caractérisation des systèmes de stockage électrochimique </t>
  </si>
  <si>
    <t xml:space="preserve">1.8 - Description physico-chimique des matières plastiques et polymères </t>
  </si>
  <si>
    <t>2.1 - Vers de nouvelles molécules par biologie synthétique</t>
  </si>
  <si>
    <t xml:space="preserve">2.2 - Optimisation rationnelle des biocatalyseurs </t>
  </si>
  <si>
    <t xml:space="preserve">2.5 - Maîtrise des mécanismes réactionnels de la corrosion </t>
  </si>
  <si>
    <t>2.13 - Réactions RedOx dans l’environnement et la subsurface, et processus Bio- et Géo-inspirés</t>
  </si>
  <si>
    <t>2.14 - Méthodes de simulations moléculaires avancées d’investigation de la réactivité des systèmes complexes pour l’énergie et la chimie  </t>
  </si>
  <si>
    <t>2.15 - Mécanismes réactionnels photo assistés</t>
  </si>
  <si>
    <t xml:space="preserve">2.16 - Mécanismes réactionnels des systèmes électrochimiques
</t>
  </si>
  <si>
    <t xml:space="preserve">2.17 - Catalyses pour la transformation des polymères </t>
  </si>
  <si>
    <t xml:space="preserve">2.18 - Chemins d’expression optimale du site actif des catalyseurs chimiques </t>
  </si>
  <si>
    <t>3.3 - Transport et retention de fluides complexes en milieux poreux</t>
  </si>
  <si>
    <t>3.5 - Emulsions de Pickering</t>
  </si>
  <si>
    <t>3.6 - Biofilms</t>
  </si>
  <si>
    <t>3.8 - Adsorption, absorption et phénomènes de transfert de matière en milieux confinés</t>
  </si>
  <si>
    <t>3.9 - Cristallisation</t>
  </si>
  <si>
    <t>4.1 - Désign assisté par les données</t>
  </si>
  <si>
    <t>4.3 - Traitement du signal</t>
  </si>
  <si>
    <t>4.7 - Apprentissage</t>
  </si>
  <si>
    <t>4.8 - I.A. pour la simulation numérique</t>
  </si>
  <si>
    <t>5.3 - Introduction dans les modèles de descripteurs à l’échelle atomique de catalyseurs et d’adsorbants</t>
  </si>
  <si>
    <t>5.9 - Identification de paramètres effectifs pour modéliser le comportement des milieux poreux dans une perspective de changement d’échelle</t>
  </si>
  <si>
    <t>5.10 - Identification de descripteurs de mélanges complexes pour prédire leurs propriétés</t>
  </si>
  <si>
    <t>5.11 - Comprendre le rôle des sols sur les flux de carbone entre l’atmosphère et la géosphère</t>
  </si>
  <si>
    <t>5.12 - Impact de la variabilité climatique sur le système Terre</t>
  </si>
  <si>
    <t>5.13 - Identification de descripteurs de phénomènes liés aux écoulements dans les systèmes de conversion d’énergie</t>
  </si>
  <si>
    <t>5.14 - Descripteurs des étapes unitaires de synthèse de matériaux</t>
  </si>
  <si>
    <t>5.15 - Descripteurs Structure-Propriétés pour les matériaux plastiques</t>
  </si>
  <si>
    <t>5.16 - Identification de descripteurs de systèmes de conversion électrique et de leurs électroniques</t>
  </si>
  <si>
    <t xml:space="preserve">6.1 - Ecoulements et transferts en milieux poreux hétérogènes naturels ou synthétiques </t>
  </si>
  <si>
    <t xml:space="preserve">6.10 - Modélisation multiphysiques, vieillissements et endommagement des systèmes et des matériaux </t>
  </si>
  <si>
    <t>6.8 - Ecoulements turbulents multiphysiques</t>
  </si>
  <si>
    <t>6.9 - Interactions mécaniques et thermiques fluides-structures</t>
  </si>
  <si>
    <t xml:space="preserve">7.1 - Optimisation des systèmes complexes en intégrant les incertitudes </t>
  </si>
  <si>
    <t>7.2 - Contrôler les systèmes</t>
  </si>
  <si>
    <t>7.3 - Analyser le fonctionnement des systèmes</t>
  </si>
  <si>
    <t>7.4 - Optimisation combinatoire des systèmes complexes</t>
  </si>
  <si>
    <t>8.1 - Algorithmes et solutions logicielles adaptés aux nouvelles architectures matérielles</t>
  </si>
  <si>
    <t xml:space="preserve">8.2 - Performance numérique des simulations multi-physiques </t>
  </si>
  <si>
    <t xml:space="preserve">8.3 - Lattice Boltzmann Method </t>
  </si>
  <si>
    <t xml:space="preserve">8.4 - Réduction de modèle </t>
  </si>
  <si>
    <t>9.1 - Quantification et évaluation des scénarios de transition énergétique via la modélisation et l’analyse des systèmes énergétiques et biophysiques</t>
  </si>
  <si>
    <t xml:space="preserve">9.2 - Régulation des marchés de l’énergie, stratégies d’acteurs et politiques publiques dans la transition énergétique </t>
  </si>
  <si>
    <t>9.3 - Impacts environnementaux et faisabilité socio-technique du déploiement des NTE pour la transition énergétique</t>
  </si>
  <si>
    <t>10.1 - Autre (projet DNP)</t>
  </si>
  <si>
    <r>
      <t xml:space="preserve">La Demande d’Autorisation de Publication ou DAP a pour objectifs de </t>
    </r>
    <r>
      <rPr>
        <b/>
        <sz val="10"/>
        <color theme="3"/>
        <rFont val="Calibri"/>
        <family val="2"/>
        <scheme val="minor"/>
      </rPr>
      <t>garantir la qualité scientifique d’une publication</t>
    </r>
    <r>
      <rPr>
        <sz val="10"/>
        <color theme="3"/>
        <rFont val="Calibri"/>
        <family val="2"/>
        <scheme val="minor"/>
      </rPr>
      <t>, de s'assurer que toutes les dispositions ont été prises en termes de</t>
    </r>
    <r>
      <rPr>
        <b/>
        <sz val="10"/>
        <color theme="3"/>
        <rFont val="Calibri"/>
        <family val="2"/>
        <scheme val="minor"/>
      </rPr>
      <t xml:space="preserve"> protection intellectuelle et de respect des engagements contractuels</t>
    </r>
    <r>
      <rPr>
        <sz val="10"/>
        <color theme="3"/>
        <rFont val="Calibri"/>
        <family val="2"/>
        <scheme val="minor"/>
      </rPr>
      <t xml:space="preserve"> sur le projet concerné. La DAP permet de </t>
    </r>
    <r>
      <rPr>
        <b/>
        <sz val="10"/>
        <color theme="3"/>
        <rFont val="Calibri"/>
        <family val="2"/>
        <scheme val="minor"/>
      </rPr>
      <t>calculer les indicateurs</t>
    </r>
    <r>
      <rPr>
        <sz val="10"/>
        <color theme="3"/>
        <rFont val="Calibri"/>
        <family val="2"/>
        <scheme val="minor"/>
      </rPr>
      <t xml:space="preserve"> demandés par nos autorités de tutelles, mais également dans nos procédures qualité.</t>
    </r>
  </si>
  <si>
    <r>
      <rPr>
        <b/>
        <sz val="10"/>
        <color theme="3"/>
        <rFont val="Calibri"/>
        <family val="2"/>
        <scheme val="minor"/>
      </rPr>
      <t xml:space="preserve">Toute publication </t>
    </r>
    <r>
      <rPr>
        <sz val="10"/>
        <color theme="3"/>
        <rFont val="Calibri"/>
        <family val="2"/>
        <scheme val="minor"/>
      </rPr>
      <t xml:space="preserve">(publication dans une revue, communication à congrès, poster, ouvrage) </t>
    </r>
    <r>
      <rPr>
        <b/>
        <sz val="10"/>
        <color theme="3"/>
        <rFont val="Calibri"/>
        <family val="2"/>
        <scheme val="minor"/>
      </rPr>
      <t>DOIT</t>
    </r>
    <r>
      <rPr>
        <sz val="10"/>
        <color theme="3"/>
        <rFont val="Calibri"/>
        <family val="2"/>
        <scheme val="minor"/>
      </rPr>
      <t xml:space="preserve"> faire l’objet d’une DAP.</t>
    </r>
  </si>
  <si>
    <t>0.03</t>
  </si>
  <si>
    <t>Prise en compte des remarques émises le 11/10/2022</t>
  </si>
  <si>
    <t>Activation de la macro</t>
  </si>
  <si>
    <r>
      <t xml:space="preserve">Si la banière, ci-dessous, apparaît au dessous de la barre de menu, cliquer sur le bouton </t>
    </r>
    <r>
      <rPr>
        <b/>
        <sz val="10"/>
        <color rgb="FFFF0000"/>
        <rFont val="Calibri"/>
        <family val="2"/>
        <scheme val="minor"/>
      </rPr>
      <t>Activer le contenu</t>
    </r>
  </si>
  <si>
    <t>0.04</t>
  </si>
  <si>
    <t>Ajout information pour Activer le contenu</t>
  </si>
  <si>
    <t>Si oui, quels partenaires :
(dans ce cas, renvoyer la D.A.P au CdR concerné, pour  information)</t>
  </si>
  <si>
    <t>0.05</t>
  </si>
  <si>
    <t>Correction coquille texte</t>
  </si>
  <si>
    <t>Titre de la Publication</t>
  </si>
  <si>
    <t>1.00</t>
  </si>
  <si>
    <t>Modification wording (ajout Carnot)</t>
  </si>
  <si>
    <t>- Pour Rueil : IFP Energies nouvelles, 1 et 4 avenue de Bois-Préau, 92852 Rueil-Malmaison, France
- Pour Solaize : IFP Energies nouvelles, Rond-point de l'échangeur de Solaize, BP 3, 69360 Solaize, France
- Pour les Publications relevant de Carnot :
    * Carnot IFPEN Transports Energie, 1 et 4 avenue de Bois-Préau, 92852 Rueil-Malmaison, France
    * Carnot IFPEN Ressources Energétiques, 1 et 4 avenue de Bois-Préau, 92852 Rueil-Malmaison, France</t>
  </si>
  <si>
    <t>1.01</t>
  </si>
  <si>
    <t>Défi non obligatoire</t>
  </si>
  <si>
    <t>1.02</t>
  </si>
  <si>
    <t>Suppression bouton envoi mail pour étapes &gt; 0</t>
  </si>
  <si>
    <t>1.03</t>
  </si>
  <si>
    <t>Suppression de tous les boutons</t>
  </si>
  <si>
    <t>1.04</t>
  </si>
  <si>
    <t>Mise à jour onglet Lisez-moi! (suite suppression boutons)</t>
  </si>
  <si>
    <t>MIMOUNI Daniel</t>
  </si>
  <si>
    <t>XFK72 001</t>
  </si>
  <si>
    <t>TRAN Quang Huy</t>
  </si>
  <si>
    <t>MALISANI Paul</t>
  </si>
  <si>
    <t xml:space="preserve">MIMOUNI Daniel, MALISANI Paul, ZHU Jiamin, DE OLIVEIRA Welington (CMA Mines Paris) </t>
  </si>
  <si>
    <t>Non</t>
  </si>
  <si>
    <t>Accord</t>
  </si>
  <si>
    <t>Oui (par défaut)</t>
  </si>
  <si>
    <t>HUMEAU Dominique</t>
  </si>
  <si>
    <t>Oui</t>
  </si>
  <si>
    <t>Computing Wasserstein Barycenter via operator splitting: the Method of Averaged Marginals</t>
  </si>
  <si>
    <t>SIMODS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</si>
</sst>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theme="4"/>
      <name val="Arial"/>
      <family val="2"/>
    </font>
    <font>
      <b/>
      <sz val="18"/>
      <color theme="4"/>
      <name val="Arial"/>
      <family val="2"/>
    </font>
    <font>
      <b/>
      <i/>
      <sz val="12"/>
      <color theme="4"/>
      <name val="Arial"/>
      <family val="2"/>
    </font>
    <font>
      <sz val="10"/>
      <color indexed="8"/>
      <name val="Arial"/>
      <family val="2"/>
    </font>
    <font>
      <b/>
      <sz val="36"/>
      <color rgb="FFDCE6F1"/>
      <name val="Calibri"/>
      <family val="2"/>
      <scheme val="minor"/>
    </font>
    <font>
      <b/>
      <i/>
      <sz val="36"/>
      <color rgb="FFB8CCE4"/>
      <name val="Calibri"/>
      <family val="2"/>
      <scheme val="minor"/>
    </font>
    <font>
      <sz val="10"/>
      <color rgb="FFDCE6F1"/>
      <name val="Calibri"/>
      <family val="2"/>
      <scheme val="minor"/>
    </font>
    <font>
      <i/>
      <sz val="10"/>
      <color theme="4" tint="0.39997558519241921"/>
      <name val="Calibri"/>
      <family val="2"/>
      <scheme val="minor"/>
    </font>
    <font>
      <sz val="10"/>
      <color indexed="30"/>
      <name val="Wingdings"/>
      <charset val="2"/>
    </font>
    <font>
      <i/>
      <sz val="10"/>
      <color indexed="30"/>
      <name val="Calibri"/>
      <family val="2"/>
    </font>
    <font>
      <b/>
      <i/>
      <sz val="10"/>
      <color rgb="FF1F497D"/>
      <name val="Calibri"/>
      <family val="2"/>
      <scheme val="minor"/>
    </font>
    <font>
      <b/>
      <sz val="28"/>
      <color rgb="FF1F497D"/>
      <name val="Calibri"/>
      <family val="2"/>
      <scheme val="minor"/>
    </font>
    <font>
      <b/>
      <sz val="22"/>
      <color rgb="FF003366"/>
      <name val="Calibri"/>
      <family val="2"/>
      <scheme val="minor"/>
    </font>
    <font>
      <b/>
      <sz val="22"/>
      <color rgb="FF1F497D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i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i/>
      <vertAlign val="superscript"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theme="3" tint="0.59999389629810485"/>
        </stop>
        <stop position="1">
          <color theme="4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auto="1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4.9989318521683403E-2"/>
        <bgColor rgb="FF000000"/>
      </patternFill>
    </fill>
    <fill>
      <gradientFill degree="90">
        <stop position="0">
          <color theme="0" tint="-5.0965910824915313E-2"/>
        </stop>
        <stop position="1">
          <color theme="4" tint="0.80001220740379042"/>
        </stop>
      </gradientFill>
    </fill>
    <fill>
      <gradientFill degree="90">
        <stop position="0">
          <color theme="4" tint="0.80001220740379042"/>
        </stop>
        <stop position="1">
          <color theme="0" tint="-5.0965910824915313E-2"/>
        </stop>
      </gradientFill>
    </fill>
    <fill>
      <patternFill patternType="solid">
        <fgColor theme="3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9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6">
    <xf numFmtId="0" fontId="0" fillId="0" borderId="0"/>
    <xf numFmtId="0" fontId="1" fillId="0" borderId="0" applyNumberFormat="0" applyFill="0" applyBorder="0" applyAlignment="0" applyProtection="0"/>
    <xf numFmtId="0" fontId="8" fillId="0" borderId="0" applyFill="0" applyBorder="0" applyAlignment="0" applyProtection="0"/>
    <xf numFmtId="0" fontId="8" fillId="0" borderId="0"/>
    <xf numFmtId="0" fontId="12" fillId="0" borderId="0">
      <alignment vertical="top"/>
    </xf>
    <xf numFmtId="0" fontId="8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8" fillId="0" borderId="0"/>
    <xf numFmtId="0" fontId="8" fillId="0" borderId="0"/>
    <xf numFmtId="0" fontId="27" fillId="0" borderId="0"/>
    <xf numFmtId="0" fontId="27" fillId="0" borderId="0"/>
    <xf numFmtId="0" fontId="27" fillId="0" borderId="0"/>
    <xf numFmtId="0" fontId="8" fillId="0" borderId="0"/>
    <xf numFmtId="0" fontId="8" fillId="0" borderId="0"/>
  </cellStyleXfs>
  <cellXfs count="13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Protection="1"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4" fillId="4" borderId="5" xfId="0" applyFont="1" applyFill="1" applyBorder="1" applyProtection="1">
      <protection hidden="1"/>
    </xf>
    <xf numFmtId="0" fontId="4" fillId="4" borderId="0" xfId="0" applyFont="1" applyFill="1" applyBorder="1" applyProtection="1">
      <protection hidden="1"/>
    </xf>
    <xf numFmtId="0" fontId="0" fillId="4" borderId="6" xfId="0" applyFill="1" applyBorder="1" applyProtection="1">
      <protection hidden="1"/>
    </xf>
    <xf numFmtId="0" fontId="0" fillId="4" borderId="5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4" fillId="4" borderId="6" xfId="0" applyFont="1" applyFill="1" applyBorder="1" applyProtection="1">
      <protection hidden="1"/>
    </xf>
    <xf numFmtId="0" fontId="0" fillId="0" borderId="0" xfId="0" applyAlignment="1" applyProtection="1">
      <alignment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2" fillId="4" borderId="6" xfId="0" applyFont="1" applyFill="1" applyBorder="1" applyAlignment="1" applyProtection="1">
      <alignment horizontal="center" vertical="center"/>
      <protection hidden="1"/>
    </xf>
    <xf numFmtId="0" fontId="0" fillId="4" borderId="10" xfId="0" applyFill="1" applyBorder="1" applyProtection="1">
      <protection hidden="1"/>
    </xf>
    <xf numFmtId="0" fontId="0" fillId="4" borderId="11" xfId="0" applyFill="1" applyBorder="1" applyProtection="1">
      <protection hidden="1"/>
    </xf>
    <xf numFmtId="0" fontId="0" fillId="4" borderId="12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2" borderId="7" xfId="0" applyFont="1" applyFill="1" applyBorder="1" applyAlignment="1" applyProtection="1">
      <alignment horizontal="left" vertical="top" wrapText="1"/>
      <protection locked="0"/>
    </xf>
    <xf numFmtId="0" fontId="8" fillId="8" borderId="0" xfId="3" applyFill="1"/>
    <xf numFmtId="0" fontId="9" fillId="8" borderId="0" xfId="3" applyFont="1" applyFill="1" applyAlignment="1">
      <alignment horizontal="right"/>
    </xf>
    <xf numFmtId="0" fontId="13" fillId="10" borderId="0" xfId="4" applyFont="1" applyFill="1" applyBorder="1" applyAlignment="1" applyProtection="1">
      <alignment horizontal="center" vertical="center"/>
    </xf>
    <xf numFmtId="0" fontId="14" fillId="10" borderId="0" xfId="4" applyFont="1" applyFill="1" applyBorder="1" applyAlignment="1" applyProtection="1">
      <alignment vertical="center"/>
    </xf>
    <xf numFmtId="0" fontId="15" fillId="10" borderId="0" xfId="4" applyFont="1" applyFill="1" applyBorder="1" applyAlignment="1" applyProtection="1">
      <alignment vertical="center"/>
    </xf>
    <xf numFmtId="0" fontId="16" fillId="4" borderId="0" xfId="4" applyFont="1" applyFill="1" applyAlignment="1">
      <alignment vertical="center"/>
    </xf>
    <xf numFmtId="0" fontId="19" fillId="10" borderId="0" xfId="4" applyFont="1" applyFill="1" applyBorder="1" applyAlignment="1" applyProtection="1">
      <alignment vertical="center"/>
    </xf>
    <xf numFmtId="0" fontId="20" fillId="11" borderId="0" xfId="4" applyFont="1" applyFill="1" applyBorder="1" applyAlignment="1" applyProtection="1">
      <alignment horizontal="center" vertical="center"/>
    </xf>
    <xf numFmtId="0" fontId="21" fillId="11" borderId="0" xfId="4" applyFont="1" applyFill="1" applyBorder="1" applyAlignment="1" applyProtection="1">
      <alignment vertical="center"/>
    </xf>
    <xf numFmtId="0" fontId="22" fillId="11" borderId="0" xfId="4" applyFont="1" applyFill="1" applyBorder="1" applyAlignment="1" applyProtection="1">
      <alignment vertical="center"/>
    </xf>
    <xf numFmtId="0" fontId="23" fillId="11" borderId="0" xfId="4" applyFont="1" applyFill="1" applyBorder="1" applyAlignment="1" applyProtection="1">
      <alignment vertical="center"/>
    </xf>
    <xf numFmtId="0" fontId="8" fillId="6" borderId="0" xfId="3" applyFill="1"/>
    <xf numFmtId="0" fontId="8" fillId="12" borderId="0" xfId="3" applyFill="1"/>
    <xf numFmtId="0" fontId="8" fillId="12" borderId="0" xfId="3" applyFill="1" applyAlignment="1">
      <alignment wrapText="1"/>
    </xf>
    <xf numFmtId="0" fontId="24" fillId="6" borderId="0" xfId="3" applyFont="1" applyFill="1"/>
    <xf numFmtId="0" fontId="25" fillId="6" borderId="0" xfId="3" applyFont="1" applyFill="1"/>
    <xf numFmtId="0" fontId="26" fillId="0" borderId="0" xfId="0" applyFont="1"/>
    <xf numFmtId="0" fontId="8" fillId="2" borderId="13" xfId="3" applyFill="1" applyBorder="1"/>
    <xf numFmtId="0" fontId="5" fillId="0" borderId="7" xfId="0" applyFont="1" applyFill="1" applyBorder="1" applyAlignment="1" applyProtection="1">
      <alignment horizontal="left" vertical="top"/>
      <protection locked="0"/>
    </xf>
    <xf numFmtId="14" fontId="5" fillId="0" borderId="7" xfId="0" applyNumberFormat="1" applyFon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center" vertical="center"/>
    </xf>
    <xf numFmtId="49" fontId="7" fillId="0" borderId="15" xfId="0" applyNumberFormat="1" applyFont="1" applyFill="1" applyBorder="1" applyAlignment="1" applyProtection="1">
      <alignment horizontal="center" vertical="center" wrapText="1"/>
    </xf>
    <xf numFmtId="14" fontId="7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15" xfId="0" applyFont="1" applyFill="1" applyBorder="1" applyAlignment="1" applyProtection="1">
      <alignment horizontal="center" vertical="center" wrapText="1"/>
      <protection hidden="1"/>
    </xf>
    <xf numFmtId="49" fontId="7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5" xfId="0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 wrapText="1"/>
    </xf>
    <xf numFmtId="14" fontId="0" fillId="0" borderId="14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left" vertical="center" wrapText="1" readingOrder="1"/>
    </xf>
    <xf numFmtId="0" fontId="31" fillId="0" borderId="0" xfId="0" applyFont="1" applyFill="1" applyBorder="1" applyAlignment="1">
      <alignment vertical="center" wrapText="1" readingOrder="1"/>
    </xf>
    <xf numFmtId="0" fontId="0" fillId="0" borderId="0" xfId="0" applyFont="1" applyAlignment="1">
      <alignment horizontal="center" vertical="center"/>
    </xf>
    <xf numFmtId="0" fontId="30" fillId="0" borderId="0" xfId="0" applyFont="1" applyFill="1" applyBorder="1" applyAlignment="1">
      <alignment vertical="center"/>
    </xf>
    <xf numFmtId="0" fontId="32" fillId="13" borderId="16" xfId="0" applyFont="1" applyFill="1" applyBorder="1" applyAlignment="1">
      <alignment vertical="center"/>
    </xf>
    <xf numFmtId="0" fontId="30" fillId="0" borderId="0" xfId="0" applyFont="1" applyFill="1" applyBorder="1" applyAlignment="1">
      <alignment horizontal="center" vertical="center"/>
    </xf>
    <xf numFmtId="0" fontId="32" fillId="13" borderId="16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6" fillId="0" borderId="0" xfId="1" applyFont="1" applyFill="1" applyBorder="1" applyAlignment="1" applyProtection="1">
      <alignment horizontal="left" vertical="center"/>
      <protection hidden="1"/>
    </xf>
    <xf numFmtId="0" fontId="6" fillId="0" borderId="0" xfId="1" applyFont="1" applyFill="1" applyAlignment="1" applyProtection="1">
      <alignment horizontal="left" vertical="center"/>
      <protection hidden="1"/>
    </xf>
    <xf numFmtId="0" fontId="33" fillId="4" borderId="0" xfId="0" applyFont="1" applyFill="1" applyBorder="1" applyProtection="1">
      <protection hidden="1"/>
    </xf>
    <xf numFmtId="0" fontId="4" fillId="4" borderId="0" xfId="0" applyFont="1" applyFill="1" applyBorder="1" applyAlignment="1" applyProtection="1">
      <alignment vertical="center"/>
      <protection hidden="1"/>
    </xf>
    <xf numFmtId="0" fontId="35" fillId="4" borderId="0" xfId="0" applyFont="1" applyFill="1" applyBorder="1" applyProtection="1">
      <protection hidden="1"/>
    </xf>
    <xf numFmtId="0" fontId="4" fillId="4" borderId="0" xfId="0" applyFont="1" applyFill="1" applyBorder="1" applyAlignment="1" applyProtection="1">
      <alignment wrapText="1"/>
      <protection hidden="1"/>
    </xf>
    <xf numFmtId="0" fontId="4" fillId="4" borderId="19" xfId="0" applyFont="1" applyFill="1" applyBorder="1" applyAlignment="1" applyProtection="1">
      <alignment wrapText="1"/>
      <protection hidden="1"/>
    </xf>
    <xf numFmtId="0" fontId="6" fillId="2" borderId="7" xfId="0" applyFont="1" applyFill="1" applyBorder="1" applyAlignment="1" applyProtection="1">
      <alignment vertical="top"/>
      <protection locked="0"/>
    </xf>
    <xf numFmtId="0" fontId="4" fillId="4" borderId="21" xfId="0" applyFont="1" applyFill="1" applyBorder="1" applyProtection="1">
      <protection hidden="1"/>
    </xf>
    <xf numFmtId="0" fontId="4" fillId="4" borderId="20" xfId="0" applyFont="1" applyFill="1" applyBorder="1" applyProtection="1">
      <protection hidden="1"/>
    </xf>
    <xf numFmtId="0" fontId="0" fillId="4" borderId="22" xfId="0" applyFill="1" applyBorder="1" applyProtection="1">
      <protection hidden="1"/>
    </xf>
    <xf numFmtId="0" fontId="20" fillId="11" borderId="0" xfId="4" applyFont="1" applyFill="1" applyAlignment="1" applyProtection="1">
      <alignment horizontal="center" vertical="center"/>
      <protection hidden="1"/>
    </xf>
    <xf numFmtId="0" fontId="21" fillId="11" borderId="0" xfId="4" applyFont="1" applyFill="1" applyAlignment="1" applyProtection="1">
      <alignment vertical="center"/>
      <protection hidden="1"/>
    </xf>
    <xf numFmtId="0" fontId="22" fillId="11" borderId="0" xfId="4" applyFont="1" applyFill="1" applyAlignment="1" applyProtection="1">
      <alignment vertical="center"/>
      <protection hidden="1"/>
    </xf>
    <xf numFmtId="0" fontId="23" fillId="11" borderId="0" xfId="4" applyFont="1" applyFill="1" applyAlignment="1" applyProtection="1">
      <alignment vertical="center"/>
      <protection hidden="1"/>
    </xf>
    <xf numFmtId="0" fontId="38" fillId="6" borderId="0" xfId="10" applyFont="1" applyFill="1" applyProtection="1">
      <protection hidden="1"/>
    </xf>
    <xf numFmtId="0" fontId="40" fillId="0" borderId="0" xfId="0" applyFont="1" applyProtection="1">
      <protection hidden="1"/>
    </xf>
    <xf numFmtId="0" fontId="8" fillId="12" borderId="0" xfId="10" applyFill="1" applyProtection="1">
      <protection hidden="1"/>
    </xf>
    <xf numFmtId="14" fontId="42" fillId="0" borderId="14" xfId="0" applyNumberFormat="1" applyFont="1" applyFill="1" applyBorder="1" applyAlignment="1" applyProtection="1">
      <alignment horizontal="center" vertical="center" wrapText="1"/>
      <protection locked="0"/>
    </xf>
    <xf numFmtId="49" fontId="42" fillId="0" borderId="14" xfId="0" applyNumberFormat="1" applyFont="1" applyFill="1" applyBorder="1" applyAlignment="1" applyProtection="1">
      <alignment horizontal="center" vertical="center" wrapText="1"/>
    </xf>
    <xf numFmtId="0" fontId="7" fillId="5" borderId="0" xfId="0" applyFont="1" applyFill="1" applyBorder="1" applyAlignment="1">
      <alignment vertical="center"/>
    </xf>
    <xf numFmtId="0" fontId="1" fillId="6" borderId="0" xfId="1" applyFill="1" applyBorder="1" applyAlignment="1" applyProtection="1">
      <alignment vertical="center"/>
      <protection hidden="1"/>
    </xf>
    <xf numFmtId="0" fontId="1" fillId="2" borderId="0" xfId="1" applyFill="1" applyBorder="1" applyAlignment="1" applyProtection="1">
      <alignment vertical="center"/>
      <protection hidden="1"/>
    </xf>
    <xf numFmtId="0" fontId="0" fillId="2" borderId="0" xfId="0" applyFill="1" applyBorder="1" applyAlignment="1" applyProtection="1">
      <alignment vertical="center"/>
      <protection hidden="1"/>
    </xf>
    <xf numFmtId="0" fontId="8" fillId="6" borderId="0" xfId="0" applyFont="1" applyFill="1" applyBorder="1" applyAlignment="1" applyProtection="1">
      <alignment vertical="center"/>
      <protection hidden="1"/>
    </xf>
    <xf numFmtId="0" fontId="8" fillId="2" borderId="0" xfId="0" applyFont="1" applyFill="1" applyBorder="1" applyAlignment="1" applyProtection="1">
      <alignment vertical="center"/>
      <protection hidden="1"/>
    </xf>
    <xf numFmtId="0" fontId="7" fillId="5" borderId="23" xfId="0" applyFont="1" applyFill="1" applyBorder="1" applyAlignment="1">
      <alignment horizontal="center" vertical="center"/>
    </xf>
    <xf numFmtId="0" fontId="0" fillId="14" borderId="24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0" fillId="14" borderId="25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horizontal="center"/>
      <protection hidden="1"/>
    </xf>
    <xf numFmtId="0" fontId="8" fillId="6" borderId="0" xfId="0" applyFont="1" applyFill="1" applyBorder="1" applyAlignment="1" applyProtection="1">
      <alignment vertical="top" wrapText="1"/>
      <protection hidden="1"/>
    </xf>
    <xf numFmtId="0" fontId="7" fillId="7" borderId="0" xfId="0" applyFont="1" applyFill="1" applyAlignment="1">
      <alignment horizontal="center" vertical="center"/>
    </xf>
    <xf numFmtId="0" fontId="12" fillId="11" borderId="0" xfId="4" applyFill="1" applyAlignment="1" applyProtection="1">
      <alignment vertical="center"/>
      <protection hidden="1"/>
    </xf>
    <xf numFmtId="0" fontId="5" fillId="2" borderId="7" xfId="0" applyNumberFormat="1" applyFont="1" applyFill="1" applyBorder="1" applyAlignment="1" applyProtection="1">
      <alignment horizontal="left" vertical="top" wrapText="1"/>
      <protection locked="0"/>
    </xf>
    <xf numFmtId="14" fontId="45" fillId="0" borderId="14" xfId="0" applyNumberFormat="1" applyFont="1" applyFill="1" applyBorder="1" applyAlignment="1" applyProtection="1">
      <alignment horizontal="center" vertical="center" wrapText="1"/>
      <protection locked="0"/>
    </xf>
    <xf numFmtId="49" fontId="45" fillId="0" borderId="14" xfId="0" applyNumberFormat="1" applyFont="1" applyFill="1" applyBorder="1" applyAlignment="1" applyProtection="1">
      <alignment horizontal="center" vertical="center" wrapText="1"/>
    </xf>
    <xf numFmtId="14" fontId="46" fillId="0" borderId="14" xfId="0" applyNumberFormat="1" applyFont="1" applyFill="1" applyBorder="1" applyAlignment="1" applyProtection="1">
      <alignment horizontal="center" vertical="center" wrapText="1"/>
      <protection locked="0"/>
    </xf>
    <xf numFmtId="49" fontId="46" fillId="0" borderId="14" xfId="0" applyNumberFormat="1" applyFont="1" applyFill="1" applyBorder="1" applyAlignment="1" applyProtection="1">
      <alignment horizontal="center" vertical="center" wrapText="1"/>
    </xf>
    <xf numFmtId="0" fontId="47" fillId="0" borderId="0" xfId="0" applyFont="1" applyProtection="1">
      <protection locked="0"/>
    </xf>
    <xf numFmtId="0" fontId="1" fillId="6" borderId="0" xfId="1" applyFill="1" applyAlignment="1">
      <alignment wrapText="1"/>
    </xf>
    <xf numFmtId="0" fontId="10" fillId="8" borderId="0" xfId="3" applyFont="1" applyFill="1" applyAlignment="1">
      <alignment horizontal="center"/>
    </xf>
    <xf numFmtId="0" fontId="11" fillId="9" borderId="0" xfId="3" applyFont="1" applyFill="1" applyAlignment="1">
      <alignment horizontal="center" vertical="top"/>
    </xf>
    <xf numFmtId="0" fontId="38" fillId="6" borderId="0" xfId="10" applyFont="1" applyFill="1" applyAlignment="1" applyProtection="1">
      <alignment horizontal="left" wrapText="1"/>
      <protection hidden="1"/>
    </xf>
    <xf numFmtId="0" fontId="38" fillId="6" borderId="0" xfId="10" applyFont="1" applyFill="1" applyAlignment="1" applyProtection="1">
      <alignment horizontal="left" vertical="top" wrapText="1"/>
      <protection hidden="1"/>
    </xf>
    <xf numFmtId="0" fontId="29" fillId="0" borderId="26" xfId="0" applyFont="1" applyBorder="1" applyAlignment="1" applyProtection="1">
      <alignment horizontal="center"/>
      <protection hidden="1"/>
    </xf>
    <xf numFmtId="0" fontId="29" fillId="0" borderId="28" xfId="0" applyFont="1" applyBorder="1" applyAlignment="1" applyProtection="1">
      <alignment horizontal="center"/>
      <protection hidden="1"/>
    </xf>
    <xf numFmtId="0" fontId="29" fillId="0" borderId="27" xfId="0" applyFont="1" applyBorder="1" applyAlignment="1" applyProtection="1">
      <alignment horizontal="center"/>
      <protection hidden="1"/>
    </xf>
    <xf numFmtId="0" fontId="37" fillId="4" borderId="0" xfId="1" applyFont="1" applyFill="1" applyBorder="1" applyAlignment="1" applyProtection="1">
      <alignment horizontal="left" wrapText="1"/>
      <protection hidden="1"/>
    </xf>
    <xf numFmtId="0" fontId="37" fillId="4" borderId="0" xfId="1" applyFont="1" applyFill="1" applyBorder="1" applyAlignment="1" applyProtection="1">
      <alignment horizontal="left"/>
      <protection hidden="1"/>
    </xf>
    <xf numFmtId="0" fontId="2" fillId="3" borderId="10" xfId="0" applyFont="1" applyFill="1" applyBorder="1" applyAlignment="1" applyProtection="1">
      <alignment horizontal="center"/>
      <protection hidden="1"/>
    </xf>
    <xf numFmtId="0" fontId="2" fillId="3" borderId="11" xfId="0" applyFont="1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/>
      <protection hidden="1"/>
    </xf>
    <xf numFmtId="0" fontId="5" fillId="2" borderId="8" xfId="0" applyFont="1" applyFill="1" applyBorder="1" applyAlignment="1" applyProtection="1">
      <alignment horizontal="left" vertical="top"/>
      <protection locked="0"/>
    </xf>
    <xf numFmtId="0" fontId="5" fillId="2" borderId="1" xfId="0" applyFont="1" applyFill="1" applyBorder="1" applyAlignment="1" applyProtection="1">
      <alignment horizontal="left" vertical="top"/>
      <protection locked="0"/>
    </xf>
    <xf numFmtId="0" fontId="5" fillId="2" borderId="9" xfId="0" applyFont="1" applyFill="1" applyBorder="1" applyAlignment="1" applyProtection="1">
      <alignment horizontal="left" vertical="top"/>
      <protection locked="0"/>
    </xf>
    <xf numFmtId="0" fontId="2" fillId="3" borderId="2" xfId="0" applyFont="1" applyFill="1" applyBorder="1" applyAlignment="1" applyProtection="1">
      <alignment horizontal="center"/>
      <protection hidden="1"/>
    </xf>
    <xf numFmtId="0" fontId="4" fillId="4" borderId="0" xfId="0" applyFont="1" applyFill="1" applyBorder="1" applyAlignment="1" applyProtection="1">
      <alignment horizontal="left" wrapText="1"/>
      <protection hidden="1"/>
    </xf>
    <xf numFmtId="0" fontId="4" fillId="4" borderId="0" xfId="0" applyFont="1" applyFill="1" applyBorder="1" applyAlignment="1" applyProtection="1">
      <alignment horizontal="left"/>
      <protection hidden="1"/>
    </xf>
    <xf numFmtId="0" fontId="5" fillId="2" borderId="8" xfId="0" applyFont="1" applyFill="1" applyBorder="1" applyAlignment="1" applyProtection="1">
      <alignment horizontal="left" vertical="top" wrapText="1"/>
      <protection locked="0"/>
    </xf>
    <xf numFmtId="0" fontId="5" fillId="2" borderId="1" xfId="0" applyFont="1" applyFill="1" applyBorder="1" applyAlignment="1" applyProtection="1">
      <alignment horizontal="left" vertical="top" wrapText="1"/>
      <protection locked="0"/>
    </xf>
    <xf numFmtId="0" fontId="5" fillId="2" borderId="9" xfId="0" applyFont="1" applyFill="1" applyBorder="1" applyAlignment="1" applyProtection="1">
      <alignment horizontal="left" vertical="top" wrapText="1"/>
      <protection locked="0"/>
    </xf>
    <xf numFmtId="0" fontId="35" fillId="4" borderId="0" xfId="0" applyFont="1" applyFill="1" applyBorder="1" applyAlignment="1" applyProtection="1">
      <alignment horizontal="left" vertical="center"/>
      <protection hidden="1"/>
    </xf>
    <xf numFmtId="0" fontId="33" fillId="4" borderId="0" xfId="0" quotePrefix="1" applyFont="1" applyFill="1" applyBorder="1" applyAlignment="1" applyProtection="1">
      <alignment horizontal="left" vertical="top" wrapText="1"/>
      <protection hidden="1"/>
    </xf>
    <xf numFmtId="0" fontId="33" fillId="4" borderId="0" xfId="0" applyFont="1" applyFill="1" applyBorder="1" applyAlignment="1" applyProtection="1">
      <alignment horizontal="left" vertical="top"/>
      <protection hidden="1"/>
    </xf>
    <xf numFmtId="0" fontId="32" fillId="13" borderId="16" xfId="0" applyFont="1" applyFill="1" applyBorder="1" applyAlignment="1">
      <alignment horizontal="center" vertical="center"/>
    </xf>
    <xf numFmtId="0" fontId="32" fillId="7" borderId="16" xfId="0" applyFont="1" applyFill="1" applyBorder="1" applyAlignment="1">
      <alignment horizontal="center" vertical="center"/>
    </xf>
    <xf numFmtId="0" fontId="32" fillId="13" borderId="17" xfId="0" applyFont="1" applyFill="1" applyBorder="1" applyAlignment="1">
      <alignment horizontal="center" vertical="center"/>
    </xf>
    <xf numFmtId="0" fontId="32" fillId="13" borderId="18" xfId="0" applyFont="1" applyFill="1" applyBorder="1" applyAlignment="1">
      <alignment horizontal="center" vertical="center"/>
    </xf>
  </cellXfs>
  <cellStyles count="16">
    <cellStyle name="Euro" xfId="5" xr:uid="{00000000-0005-0000-0000-000000000000}"/>
    <cellStyle name="Lien hypertexte" xfId="1" builtinId="8"/>
    <cellStyle name="Lien hypertexte 2" xfId="6" xr:uid="{00000000-0005-0000-0000-000002000000}"/>
    <cellStyle name="Milliers 2" xfId="7" xr:uid="{00000000-0005-0000-0000-000003000000}"/>
    <cellStyle name="Monétaire 2" xfId="8" xr:uid="{00000000-0005-0000-0000-000004000000}"/>
    <cellStyle name="Normal" xfId="0" builtinId="0"/>
    <cellStyle name="Normal 2" xfId="9" xr:uid="{00000000-0005-0000-0000-000006000000}"/>
    <cellStyle name="Normal 2 2" xfId="3" xr:uid="{00000000-0005-0000-0000-000007000000}"/>
    <cellStyle name="Normal 2 2 2" xfId="10" xr:uid="{00000000-0005-0000-0000-000008000000}"/>
    <cellStyle name="Normal 2 3" xfId="2" xr:uid="{00000000-0005-0000-0000-000009000000}"/>
    <cellStyle name="Normal 2 4" xfId="4" xr:uid="{00000000-0005-0000-0000-00000A000000}"/>
    <cellStyle name="Normal 3" xfId="11" xr:uid="{00000000-0005-0000-0000-00000B000000}"/>
    <cellStyle name="Normal 4" xfId="12" xr:uid="{00000000-0005-0000-0000-00000C000000}"/>
    <cellStyle name="Normal 5" xfId="13" xr:uid="{00000000-0005-0000-0000-00000D000000}"/>
    <cellStyle name="Normal 6" xfId="14" xr:uid="{00000000-0005-0000-0000-00000E000000}"/>
    <cellStyle name="Normal 7" xfId="15" xr:uid="{00000000-0005-0000-0000-00000F000000}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1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1"/>
    </dxf>
    <dxf>
      <font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Lisez-moi!'!A1"/><Relationship Id="rId1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ystem-software-update.svg" TargetMode="External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3</xdr:row>
      <xdr:rowOff>114300</xdr:rowOff>
    </xdr:from>
    <xdr:to>
      <xdr:col>1</xdr:col>
      <xdr:colOff>94425</xdr:colOff>
      <xdr:row>4</xdr:row>
      <xdr:rowOff>27750</xdr:rowOff>
    </xdr:to>
    <xdr:pic>
      <xdr:nvPicPr>
        <xdr:cNvPr id="13" name="BtnHelp" descr="C:\Users\botellam\AppData\Local\Microsoft\Windows\Temporary Internet Files\Content.IE5\8BRT0EX1\Cute-Ball-Help-icon[1]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790575"/>
          <a:ext cx="504000" cy="50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157162</xdr:rowOff>
    </xdr:to>
    <xdr:pic>
      <xdr:nvPicPr>
        <xdr:cNvPr id="14" name="LogoIfpen" descr="Logo_IFP-Energies-nouvelles_couleur_sans accen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04950" cy="64293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2</xdr:col>
      <xdr:colOff>2125980</xdr:colOff>
      <xdr:row>0</xdr:row>
      <xdr:rowOff>76200</xdr:rowOff>
    </xdr:from>
    <xdr:ext cx="5259260" cy="405432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329EAB9-3546-48E2-ADBB-C6C0BDA70DB5}"/>
            </a:ext>
          </a:extLst>
        </xdr:cNvPr>
        <xdr:cNvSpPr txBox="1"/>
      </xdr:nvSpPr>
      <xdr:spPr>
        <a:xfrm>
          <a:off x="3116580" y="76200"/>
          <a:ext cx="525926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r>
            <a:rPr lang="fr-FR" sz="2000" b="1" cap="none" spc="0">
              <a:ln>
                <a:solidFill>
                  <a:schemeClr val="accent1"/>
                </a:solidFill>
              </a:ln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Demande d'Autorisation de Publication (D.A.P.)</a:t>
          </a:r>
          <a:endParaRPr lang="fr-FR" sz="3600" b="1" cap="none" spc="0">
            <a:ln>
              <a:solidFill>
                <a:schemeClr val="accent1"/>
              </a:solidFill>
            </a:ln>
            <a:solidFill>
              <a:schemeClr val="accent1"/>
            </a:solidFill>
            <a:effectLst/>
          </a:endParaRPr>
        </a:p>
      </xdr:txBody>
    </xdr:sp>
    <xdr:clientData/>
  </xdr:oneCellAnchor>
  <xdr:oneCellAnchor>
    <xdr:from>
      <xdr:col>1</xdr:col>
      <xdr:colOff>95250</xdr:colOff>
      <xdr:row>14</xdr:row>
      <xdr:rowOff>0</xdr:rowOff>
    </xdr:from>
    <xdr:ext cx="371475" cy="0"/>
    <xdr:pic>
      <xdr:nvPicPr>
        <xdr:cNvPr id="3" name="Image 2" descr="C:\Users\botellam\AppData\Local\Microsoft\Windows\Temporary Internet Files\Content.IE5\8WD9UZG8\minus-1429374_960_720[1].png">
          <a:extLst>
            <a:ext uri="{FF2B5EF4-FFF2-40B4-BE49-F238E27FC236}">
              <a16:creationId xmlns:a16="http://schemas.microsoft.com/office/drawing/2014/main" id="{5BC52D97-AB4E-444B-9CB7-0365A0EC3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7000875"/>
          <a:ext cx="37147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oneCellAnchor>
  <xdr:oneCellAnchor>
    <xdr:from>
      <xdr:col>1</xdr:col>
      <xdr:colOff>171450</xdr:colOff>
      <xdr:row>14</xdr:row>
      <xdr:rowOff>0</xdr:rowOff>
    </xdr:from>
    <xdr:ext cx="266700" cy="0"/>
    <xdr:sp macro="" textlink="">
      <xdr:nvSpPr>
        <xdr:cNvPr id="4" name="Flèche vers le haut 22">
          <a:extLst>
            <a:ext uri="{FF2B5EF4-FFF2-40B4-BE49-F238E27FC236}">
              <a16:creationId xmlns:a16="http://schemas.microsoft.com/office/drawing/2014/main" id="{3E8BFB8E-ECB9-40C0-B839-5061D959B207}"/>
            </a:ext>
          </a:extLst>
        </xdr:cNvPr>
        <xdr:cNvSpPr/>
      </xdr:nvSpPr>
      <xdr:spPr>
        <a:xfrm>
          <a:off x="428625" y="6753225"/>
          <a:ext cx="266700" cy="0"/>
        </a:xfrm>
        <a:prstGeom prst="up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 fPrintsWithSheet="0"/>
  </xdr:oneCellAnchor>
  <xdr:oneCellAnchor>
    <xdr:from>
      <xdr:col>1</xdr:col>
      <xdr:colOff>95250</xdr:colOff>
      <xdr:row>14</xdr:row>
      <xdr:rowOff>0</xdr:rowOff>
    </xdr:from>
    <xdr:ext cx="371475" cy="0"/>
    <xdr:pic>
      <xdr:nvPicPr>
        <xdr:cNvPr id="8" name="Image 7" descr="C:\Users\botellam\AppData\Local\Microsoft\Windows\Temporary Internet Files\Content.IE5\8WD9UZG8\minus-1429374_960_720[1].png">
          <a:extLst>
            <a:ext uri="{FF2B5EF4-FFF2-40B4-BE49-F238E27FC236}">
              <a16:creationId xmlns:a16="http://schemas.microsoft.com/office/drawing/2014/main" id="{1144CDC1-72D2-4B24-B52E-31502EF1CA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4419600"/>
          <a:ext cx="37147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oneCellAnchor>
  <xdr:twoCellAnchor>
    <xdr:from>
      <xdr:col>1</xdr:col>
      <xdr:colOff>28575</xdr:colOff>
      <xdr:row>12</xdr:row>
      <xdr:rowOff>180975</xdr:rowOff>
    </xdr:from>
    <xdr:to>
      <xdr:col>4</xdr:col>
      <xdr:colOff>1875518</xdr:colOff>
      <xdr:row>12</xdr:row>
      <xdr:rowOff>466689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B18895AD-FF96-4F0A-BE3A-E881AEC0A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3875" y="4191000"/>
          <a:ext cx="7257143" cy="2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1600977</xdr:colOff>
      <xdr:row>0</xdr:row>
      <xdr:rowOff>102831</xdr:rowOff>
    </xdr:from>
    <xdr:ext cx="5259260" cy="405432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42018" y="102831"/>
          <a:ext cx="525926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r>
            <a:rPr lang="fr-FR" sz="2000" b="1" cap="none" spc="0">
              <a:ln>
                <a:solidFill>
                  <a:schemeClr val="accent1"/>
                </a:solidFill>
              </a:ln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Demande d'Autorisation de Publication (D.A.P.)</a:t>
          </a:r>
          <a:endParaRPr lang="fr-FR" sz="3600" b="1" cap="none" spc="0">
            <a:ln>
              <a:solidFill>
                <a:schemeClr val="accent1"/>
              </a:solidFill>
            </a:ln>
            <a:solidFill>
              <a:schemeClr val="accent1"/>
            </a:solidFill>
            <a:effectLst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2</xdr:col>
      <xdr:colOff>1263650</xdr:colOff>
      <xdr:row>1</xdr:row>
      <xdr:rowOff>506412</xdr:rowOff>
    </xdr:to>
    <xdr:pic>
      <xdr:nvPicPr>
        <xdr:cNvPr id="25" name="LogoIfpen" descr="Logo_IFP-Energies-nouvelles_couleur_sans accen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04950" cy="64293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4</xdr:col>
      <xdr:colOff>3501120</xdr:colOff>
      <xdr:row>0</xdr:row>
      <xdr:rowOff>65896</xdr:rowOff>
    </xdr:from>
    <xdr:to>
      <xdr:col>6</xdr:col>
      <xdr:colOff>88206</xdr:colOff>
      <xdr:row>1</xdr:row>
      <xdr:rowOff>427475</xdr:rowOff>
    </xdr:to>
    <xdr:pic>
      <xdr:nvPicPr>
        <xdr:cNvPr id="34" name="BtnHelp" descr="C:\Users\botellam\AppData\Local\Microsoft\Windows\Temporary Internet Files\Content.IE5\8BRT0EX1\Cute-Ball-Help-icon[1]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5686" y="65896"/>
          <a:ext cx="504000" cy="504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732324</xdr:colOff>
      <xdr:row>1</xdr:row>
      <xdr:rowOff>200739</xdr:rowOff>
    </xdr:from>
    <xdr:to>
      <xdr:col>17</xdr:col>
      <xdr:colOff>411520</xdr:colOff>
      <xdr:row>1</xdr:row>
      <xdr:rowOff>486453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9E23FF36-EABF-2272-2F91-8C6661EE9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00154" y="330460"/>
          <a:ext cx="7257143" cy="285714"/>
        </a:xfrm>
        <a:prstGeom prst="rect">
          <a:avLst/>
        </a:prstGeom>
      </xdr:spPr>
    </xdr:pic>
    <xdr:clientData fPrintsWithSheet="0"/>
  </xdr:twoCellAnchor>
  <xdr:twoCellAnchor editAs="absolute">
    <xdr:from>
      <xdr:col>6</xdr:col>
      <xdr:colOff>273625</xdr:colOff>
      <xdr:row>0</xdr:row>
      <xdr:rowOff>31733</xdr:rowOff>
    </xdr:from>
    <xdr:to>
      <xdr:col>18</xdr:col>
      <xdr:colOff>390522</xdr:colOff>
      <xdr:row>1</xdr:row>
      <xdr:rowOff>207158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FDBEA93A-3C51-6740-61BE-EF23B78973DF}"/>
            </a:ext>
          </a:extLst>
        </xdr:cNvPr>
        <xdr:cNvSpPr/>
      </xdr:nvSpPr>
      <xdr:spPr>
        <a:xfrm>
          <a:off x="8535105" y="31733"/>
          <a:ext cx="8452956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fr-FR" sz="1400" b="1" cap="none" spc="0">
              <a:ln/>
              <a:solidFill>
                <a:schemeClr val="tx2"/>
              </a:solidFill>
              <a:effectLst/>
            </a:rPr>
            <a:t>Si la banière, ci-dessous, apparaît au dessous de la barre de menu, cliquer sur le bouton </a:t>
          </a:r>
          <a:r>
            <a:rPr lang="fr-FR" sz="1400" b="1" cap="none" spc="0" baseline="0">
              <a:ln/>
              <a:solidFill>
                <a:schemeClr val="tx2"/>
              </a:solidFill>
              <a:effectLst/>
            </a:rPr>
            <a:t>pour </a:t>
          </a:r>
          <a:r>
            <a:rPr lang="fr-FR" sz="1400" b="1" cap="none" spc="0" baseline="0">
              <a:ln/>
              <a:solidFill>
                <a:srgbClr val="FF0000"/>
              </a:solidFill>
              <a:effectLst/>
            </a:rPr>
            <a:t>Activer le contenu</a:t>
          </a:r>
          <a:endParaRPr lang="fr-FR" sz="1400" b="1" cap="none" spc="0">
            <a:ln/>
            <a:solidFill>
              <a:srgbClr val="FF0000"/>
            </a:solidFill>
            <a:effectLst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200025</xdr:rowOff>
    </xdr:from>
    <xdr:ext cx="395500" cy="0"/>
    <xdr:pic>
      <xdr:nvPicPr>
        <xdr:cNvPr id="8" name="Image 7" descr="C:\Users\botellam\AppData\Local\Microsoft\Windows\Temporary Internet Files\Content.IE5\UZXA4QMQ\minus-1429374_960_720[1].png">
          <a:extLst>
            <a:ext uri="{FF2B5EF4-FFF2-40B4-BE49-F238E27FC236}">
              <a16:creationId xmlns:a16="http://schemas.microsoft.com/office/drawing/2014/main" id="{CB941643-074C-4899-AC42-E94115D7C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4900" y="190500"/>
          <a:ext cx="39550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oneCellAnchor>
  <xdr:twoCellAnchor editAs="oneCell">
    <xdr:from>
      <xdr:col>9</xdr:col>
      <xdr:colOff>1980433</xdr:colOff>
      <xdr:row>9</xdr:row>
      <xdr:rowOff>83820</xdr:rowOff>
    </xdr:from>
    <xdr:to>
      <xdr:col>10</xdr:col>
      <xdr:colOff>4578</xdr:colOff>
      <xdr:row>12</xdr:row>
      <xdr:rowOff>89520</xdr:rowOff>
    </xdr:to>
    <xdr:grpSp>
      <xdr:nvGrpSpPr>
        <xdr:cNvPr id="10" name="BtnUpdateTheme">
          <a:extLst>
            <a:ext uri="{FF2B5EF4-FFF2-40B4-BE49-F238E27FC236}">
              <a16:creationId xmlns:a16="http://schemas.microsoft.com/office/drawing/2014/main" id="{8E11CD53-E71E-6575-8781-EF66F1D60171}"/>
            </a:ext>
          </a:extLst>
        </xdr:cNvPr>
        <xdr:cNvGrpSpPr/>
      </xdr:nvGrpSpPr>
      <xdr:grpSpPr>
        <a:xfrm>
          <a:off x="20146513" y="1859280"/>
          <a:ext cx="927365" cy="554340"/>
          <a:chOff x="18965413" y="1638300"/>
          <a:chExt cx="900695" cy="554340"/>
        </a:xfrm>
      </xdr:grpSpPr>
      <xdr:pic macro="[0]!Parameters.BtnUpdateTheme">
        <xdr:nvPicPr>
          <xdr:cNvPr id="3" name="Image 2">
            <a:extLst>
              <a:ext uri="{FF2B5EF4-FFF2-40B4-BE49-F238E27FC236}">
                <a16:creationId xmlns:a16="http://schemas.microsoft.com/office/drawing/2014/main" id="{DDD6DB68-F7C4-B4F2-6449-864FAE1AEB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19235760" y="1638300"/>
            <a:ext cx="360000" cy="360000"/>
          </a:xfrm>
          <a:prstGeom prst="rect">
            <a:avLst/>
          </a:prstGeom>
        </xdr:spPr>
      </xdr:pic>
      <xdr:sp macro="[0]!Parameters.BtnUpdateTheme" textlink="">
        <xdr:nvSpPr>
          <xdr:cNvPr id="9" name="Rectangle 8">
            <a:extLst>
              <a:ext uri="{FF2B5EF4-FFF2-40B4-BE49-F238E27FC236}">
                <a16:creationId xmlns:a16="http://schemas.microsoft.com/office/drawing/2014/main" id="{EEFB636F-B4C1-67AE-B685-4D220EA646D6}"/>
              </a:ext>
            </a:extLst>
          </xdr:cNvPr>
          <xdr:cNvSpPr/>
        </xdr:nvSpPr>
        <xdr:spPr>
          <a:xfrm>
            <a:off x="18965413" y="1912435"/>
            <a:ext cx="900695" cy="28020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fr-FR" sz="1200" b="1" cap="none" spc="0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effectLst/>
              </a:rPr>
              <a:t>Mise à jour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571500</xdr:colOff>
      <xdr:row>1</xdr:row>
      <xdr:rowOff>449262</xdr:rowOff>
    </xdr:to>
    <xdr:pic>
      <xdr:nvPicPr>
        <xdr:cNvPr id="2" name="Image 1" descr="Logo_IFP-Energies-nouvelles_couleur_sans accen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3050" cy="64293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 fPrintsWithSheet="0"/>
  </xdr:twoCellAnchor>
  <xdr:twoCellAnchor editAs="absolute">
    <xdr:from>
      <xdr:col>3</xdr:col>
      <xdr:colOff>396875</xdr:colOff>
      <xdr:row>0</xdr:row>
      <xdr:rowOff>0</xdr:rowOff>
    </xdr:from>
    <xdr:to>
      <xdr:col>3</xdr:col>
      <xdr:colOff>3542033</xdr:colOff>
      <xdr:row>1</xdr:row>
      <xdr:rowOff>274338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2825750" y="0"/>
          <a:ext cx="3145158" cy="4648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400" b="1">
              <a:ln>
                <a:solidFill>
                  <a:schemeClr val="accent3"/>
                </a:solidFill>
              </a:ln>
              <a:solidFill>
                <a:schemeClr val="accent3"/>
              </a:solidFill>
            </a:rPr>
            <a:t>Suivi des Modifications</a:t>
          </a:r>
        </a:p>
      </xdr:txBody>
    </xdr:sp>
    <xdr:clientData/>
  </xdr:twoCellAnchor>
  <xdr:twoCellAnchor editAs="oneCell">
    <xdr:from>
      <xdr:col>0</xdr:col>
      <xdr:colOff>123825</xdr:colOff>
      <xdr:row>2</xdr:row>
      <xdr:rowOff>19050</xdr:rowOff>
    </xdr:from>
    <xdr:to>
      <xdr:col>1</xdr:col>
      <xdr:colOff>373275</xdr:colOff>
      <xdr:row>2</xdr:row>
      <xdr:rowOff>379050</xdr:rowOff>
    </xdr:to>
    <xdr:pic macro="[0]!Versions.BtnTabSupLine">
      <xdr:nvPicPr>
        <xdr:cNvPr id="4" name="Image 3" descr="C:\Users\botellam\AppData\Local\Microsoft\Windows\Temporary Internet Files\Content.IE5\UZXA4QMQ\minus-1429374_960_720[1]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885825"/>
          <a:ext cx="395500" cy="36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oneCell">
    <xdr:from>
      <xdr:col>3</xdr:col>
      <xdr:colOff>1209675</xdr:colOff>
      <xdr:row>1</xdr:row>
      <xdr:rowOff>476250</xdr:rowOff>
    </xdr:from>
    <xdr:to>
      <xdr:col>3</xdr:col>
      <xdr:colOff>2592297</xdr:colOff>
      <xdr:row>2</xdr:row>
      <xdr:rowOff>361794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3709035" y="659130"/>
          <a:ext cx="1382622" cy="556104"/>
          <a:chOff x="651716" y="1828800"/>
          <a:chExt cx="1382622" cy="561819"/>
        </a:xfrm>
      </xdr:grpSpPr>
      <xdr:pic macro="[0]!Versions.BtnCreerMacro">
        <xdr:nvPicPr>
          <xdr:cNvPr id="6" name="Image 5" descr="C:\Users\botellam\AppData\Local\Microsoft\Windows\Temporary Internet Files\Content.IE5\UZXA4QMQ\Office-ms-excel.svg[1].png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15762" y="1828800"/>
            <a:ext cx="254531" cy="360000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Versions.BtnCreerMacro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651716" y="2079123"/>
            <a:ext cx="1382622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flat" dir="t">
                <a:rot lat="0" lon="0" rev="18900000"/>
              </a:lightRig>
            </a:scene3d>
            <a:sp3d extrusionH="31750" contourW="6350" prstMaterial="powder">
              <a:bevelT w="19050" h="19050" prst="angle"/>
              <a:contourClr>
                <a:schemeClr val="accent3">
                  <a:tint val="100000"/>
                  <a:shade val="100000"/>
                  <a:satMod val="100000"/>
                  <a:hueMod val="100000"/>
                </a:schemeClr>
              </a:contourClr>
            </a:sp3d>
          </a:bodyPr>
          <a:lstStyle/>
          <a:p>
            <a:pPr algn="ctr"/>
            <a:r>
              <a:rPr lang="fr-FR" sz="1400" b="1" cap="none" spc="0">
                <a:ln/>
                <a:solidFill>
                  <a:schemeClr val="accent3"/>
                </a:solidFill>
                <a:effectLst/>
              </a:rPr>
              <a:t>Générer version</a:t>
            </a: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96F99D-881C-4C1A-A15A-5EBB71E522E4}" name="TabThemes" displayName="TabThemes" ref="N2:AG11" totalsRowShown="0" headerRowDxfId="40" dataDxfId="39">
  <autoFilter ref="N2:AG11" xr:uid="{6C96F99D-881C-4C1A-A15A-5EBB71E522E4}"/>
  <tableColumns count="20">
    <tableColumn id="1" xr3:uid="{18E99342-07D8-403A-99B8-EA535E6E728B}" name="_VS1_DEFI" dataDxfId="38"/>
    <tableColumn id="2" xr3:uid="{900E05AE-78FD-4F55-9502-C23EAD12DC87}" name="_VS1_LIBELLE" dataDxfId="37"/>
    <tableColumn id="3" xr3:uid="{F5B2E78C-E738-4673-95DB-7649087D9C53}" name="_VS2_DEFI" dataDxfId="36"/>
    <tableColumn id="4" xr3:uid="{357C7969-1286-45A8-9F62-ECFC2B11ED6E}" name="_VS2_LIBELLE" dataDxfId="35"/>
    <tableColumn id="5" xr3:uid="{B2BCFEFA-98F7-4A54-BA1E-F3BC7F6424BE}" name="_VS3_DEFI" dataDxfId="34"/>
    <tableColumn id="6" xr3:uid="{04FFBE63-0947-4767-962A-8F9A26807CC8}" name="_VS3_LIBELLE" dataDxfId="33"/>
    <tableColumn id="7" xr3:uid="{E8B4CADD-1447-4E91-9A46-F2EA223442C0}" name="_VS4_DEFI" dataDxfId="32"/>
    <tableColumn id="8" xr3:uid="{80A4B3F8-978F-4499-8320-0F49C720A98A}" name="_VS4_LIBELLE" dataDxfId="31"/>
    <tableColumn id="9" xr3:uid="{5D353D49-39F6-4BF0-A473-98623F44F681}" name="_VS5_DEFI" dataDxfId="30"/>
    <tableColumn id="10" xr3:uid="{7C2E5D57-FAC1-42A2-9A5B-698FF28B2CB9}" name="_VS5_LIBELLE" dataDxfId="29"/>
    <tableColumn id="11" xr3:uid="{D7B0E87E-2576-4D5A-A096-FB978542FD09}" name="_VS6_DEFI" dataDxfId="28"/>
    <tableColumn id="12" xr3:uid="{5D19A05A-E694-4BFC-AB96-57E6F0DCB873}" name="_VS6_LIBELLE" dataDxfId="27"/>
    <tableColumn id="13" xr3:uid="{997FDE50-469B-48B6-88A9-E9AC815A15A1}" name="_VS7_DEFI" dataDxfId="26"/>
    <tableColumn id="14" xr3:uid="{090A317D-1AE2-4BA4-A791-C924A6BDF374}" name="_VS7_LIBELLE" dataDxfId="25"/>
    <tableColumn id="15" xr3:uid="{A55D6AE5-77EA-43F7-9EE7-16017685F43D}" name="_VS8_DEFI" dataDxfId="24"/>
    <tableColumn id="16" xr3:uid="{05855734-E1F4-48BC-A8BB-30B75A9E8C97}" name="_VS8_LIBELLE" dataDxfId="23"/>
    <tableColumn id="17" xr3:uid="{2B553977-C82B-4AE4-B21A-BB3859ABAD70}" name="_VS9_DEFI" dataDxfId="22"/>
    <tableColumn id="18" xr3:uid="{F0C990C1-07A7-46E0-AE6D-0667428AC327}" name="_VS9_LIBELLE" dataDxfId="21"/>
    <tableColumn id="19" xr3:uid="{31BE72A6-45C0-44A6-AB48-17BBEBC33F7B}" name="_VS10_DEFI" dataDxfId="20"/>
    <tableColumn id="20" xr3:uid="{F6BF99FD-6E31-48FC-AD71-793B73079970}" name="_VS10_LIBELLE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5333B2-9851-42C7-9B00-45E2E2C9B439}" name="TabVerrous" displayName="TabVerrous" ref="L2:L12" totalsRowShown="0" headerRowDxfId="18" dataDxfId="17" dataCellStyle="Lien hypertexte">
  <autoFilter ref="L2:L12" xr:uid="{825333B2-9851-42C7-9B00-45E2E2C9B439}"/>
  <tableColumns count="1">
    <tableColumn id="1" xr3:uid="{D6D43BF3-8D2E-4C2D-830C-8E4C24500D61}" name="Verrous" dataDxfId="16" dataCellStyle="Lien hypertex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5C2468-C5E4-44D2-8DF1-664211AEC73D}" name="TabTypePublic" displayName="TabTypePublic" ref="D2:D10" totalsRowShown="0" headerRowDxfId="15" dataDxfId="14">
  <autoFilter ref="D2:D10" xr:uid="{325C2468-C5E4-44D2-8DF1-664211AEC73D}"/>
  <sortState xmlns:xlrd2="http://schemas.microsoft.com/office/spreadsheetml/2017/richdata2" ref="D3:D10">
    <sortCondition ref="D2:D10"/>
  </sortState>
  <tableColumns count="1">
    <tableColumn id="1" xr3:uid="{8A77B9EB-ED7F-4086-913F-8F69315E15B6}" name="Type de publication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EB1A9-0D92-4EF9-8656-5E58C3CB0B5F}" name="TabMailParam" displayName="TabMailParam" ref="F2:J7" totalsRowShown="0" headerRowDxfId="12">
  <autoFilter ref="F2:J7" xr:uid="{D58EB1A9-0D92-4EF9-8656-5E58C3CB0B5F}"/>
  <tableColumns count="5">
    <tableColumn id="1" xr3:uid="{D4E1BA1D-8AD0-4103-9B96-9258C843B09F}" name="Champ" dataDxfId="11"/>
    <tableColumn id="2" xr3:uid="{C288DF33-8843-4FC8-B416-05B6D21B616F}" name="0" dataDxfId="10">
      <calculatedColumnFormula>_AUTHOR</calculatedColumnFormula>
    </tableColumn>
    <tableColumn id="3" xr3:uid="{7B7CF1D3-79D0-4167-A57B-F021660A29C6}" name="1"/>
    <tableColumn id="4" xr3:uid="{E35F9E38-21EC-4766-A15D-D8EDD1635D52}" name="2"/>
    <tableColumn id="5" xr3:uid="{E83ABEDD-E698-41D9-8F75-5FB0F2C676AF}" name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9000000}" name="TabModif" displayName="TabModif" ref="B4:F14" totalsRowShown="0" headerRowDxfId="9" dataDxfId="7" headerRowBorderDxfId="8" tableBorderDxfId="6" totalsRowBorderDxfId="5">
  <autoFilter ref="B4:F14" xr:uid="{00000000-0009-0000-0100-000007000000}"/>
  <tableColumns count="5">
    <tableColumn id="1" xr3:uid="{00000000-0010-0000-0900-000001000000}" name="Version" dataDxfId="2"/>
    <tableColumn id="2" xr3:uid="{00000000-0010-0000-0900-000002000000}" name="Date d'application" dataDxfId="0"/>
    <tableColumn id="3" xr3:uid="{00000000-0010-0000-0900-000003000000}" name="Objet de la modification" dataDxfId="1"/>
    <tableColumn id="4" xr3:uid="{00000000-0010-0000-0900-000004000000}" name="Auteur" dataDxfId="4"/>
    <tableColumn id="5" xr3:uid="{00000000-0010-0000-0900-000005000000}" name="Visa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ancoise.bertrand@ifpen.fr?subject=Formulaire%20DAP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francoise.bertrand@ifpen.fr?subject=Formulaire%20DAP" TargetMode="External"/><Relationship Id="rId1" Type="http://schemas.openxmlformats.org/officeDocument/2006/relationships/hyperlink" Target="mailto:BasePublications@ifpenergiesnouvelles.fr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3.xml"/><Relationship Id="rId2" Type="http://schemas.openxmlformats.org/officeDocument/2006/relationships/hyperlink" Target="mailto:catherine.tondat@ifpen.fr" TargetMode="External"/><Relationship Id="rId1" Type="http://schemas.openxmlformats.org/officeDocument/2006/relationships/hyperlink" Target="mailto:BasePublications@ifpenergiesnouvelles.fr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eadMe">
    <tabColor theme="4"/>
    <outlinePr summaryBelow="0"/>
  </sheetPr>
  <dimension ref="A1:W20"/>
  <sheetViews>
    <sheetView showGridLines="0" showRowColHeaders="0" topLeftCell="A8" workbookViewId="0"/>
  </sheetViews>
  <sheetFormatPr baseColWidth="10" defaultColWidth="0" defaultRowHeight="14.4" zeroHeight="1" outlineLevelRow="1" x14ac:dyDescent="0.3"/>
  <cols>
    <col min="1" max="1" width="7.44140625" customWidth="1"/>
    <col min="2" max="2" width="7" customWidth="1"/>
    <col min="3" max="3" width="33.5546875" customWidth="1"/>
    <col min="4" max="4" width="40.5546875" customWidth="1"/>
    <col min="5" max="5" width="51.33203125" customWidth="1"/>
    <col min="6" max="6" width="16.5546875" customWidth="1"/>
    <col min="7" max="7" width="6" customWidth="1"/>
    <col min="8" max="16384" width="11.44140625" hidden="1"/>
  </cols>
  <sheetData>
    <row r="1" spans="1:23" x14ac:dyDescent="0.3">
      <c r="A1" s="20"/>
      <c r="B1" s="20"/>
      <c r="C1" s="20"/>
      <c r="D1" s="20"/>
      <c r="E1" s="21"/>
      <c r="F1" s="20"/>
      <c r="G1" s="20"/>
    </row>
    <row r="2" spans="1:23" ht="22.8" x14ac:dyDescent="0.4">
      <c r="A2" s="103"/>
      <c r="B2" s="103"/>
      <c r="C2" s="103"/>
      <c r="D2" s="103"/>
      <c r="E2" s="103"/>
      <c r="F2" s="103"/>
      <c r="G2" s="103"/>
    </row>
    <row r="3" spans="1:23" ht="15.6" x14ac:dyDescent="0.3">
      <c r="A3" s="104" t="s">
        <v>0</v>
      </c>
      <c r="B3" s="104"/>
      <c r="C3" s="104"/>
      <c r="D3" s="104"/>
      <c r="E3" s="104"/>
      <c r="F3" s="104"/>
      <c r="G3" s="104"/>
    </row>
    <row r="4" spans="1:23" ht="46.2" x14ac:dyDescent="0.3">
      <c r="A4" s="22"/>
      <c r="B4" s="22"/>
      <c r="C4" s="23" t="s">
        <v>1</v>
      </c>
      <c r="D4" s="24"/>
      <c r="E4" s="24"/>
      <c r="F4" s="24"/>
      <c r="G4" s="24"/>
    </row>
    <row r="5" spans="1:23" x14ac:dyDescent="0.3">
      <c r="A5" s="25" t="s">
        <v>2</v>
      </c>
      <c r="B5" s="26"/>
      <c r="C5" s="24"/>
      <c r="D5" s="24"/>
      <c r="E5" s="24"/>
      <c r="F5" s="24"/>
      <c r="G5" s="24"/>
    </row>
    <row r="6" spans="1:23" s="3" customFormat="1" ht="36.6" x14ac:dyDescent="0.3">
      <c r="A6" s="73"/>
      <c r="B6" s="74" t="s">
        <v>101</v>
      </c>
      <c r="C6" s="75"/>
      <c r="D6" s="76"/>
      <c r="E6" s="76"/>
      <c r="F6" s="76"/>
      <c r="G6" s="76"/>
    </row>
    <row r="7" spans="1:23" s="78" customFormat="1" ht="41.25" customHeight="1" outlineLevel="1" x14ac:dyDescent="0.3">
      <c r="A7" s="77"/>
      <c r="B7" s="105" t="s">
        <v>216</v>
      </c>
      <c r="C7" s="105"/>
      <c r="D7" s="105"/>
      <c r="E7" s="105"/>
      <c r="F7" s="77"/>
      <c r="G7" s="77"/>
    </row>
    <row r="8" spans="1:23" s="3" customFormat="1" x14ac:dyDescent="0.3">
      <c r="A8" s="79"/>
      <c r="B8" s="79"/>
      <c r="C8" s="79"/>
      <c r="D8" s="79"/>
      <c r="E8" s="79"/>
      <c r="F8" s="79"/>
      <c r="G8" s="79"/>
    </row>
    <row r="9" spans="1:23" ht="36.6" x14ac:dyDescent="0.3">
      <c r="A9" s="27"/>
      <c r="B9" s="28" t="s">
        <v>5</v>
      </c>
      <c r="C9" s="29"/>
      <c r="D9" s="30"/>
      <c r="E9" s="30"/>
      <c r="F9" s="30"/>
      <c r="G9" s="30"/>
    </row>
    <row r="10" spans="1:23" s="36" customFormat="1" ht="15.6" outlineLevel="1" x14ac:dyDescent="0.3">
      <c r="A10" s="35"/>
      <c r="B10" s="105" t="s">
        <v>217</v>
      </c>
      <c r="C10" s="105"/>
      <c r="D10" s="105"/>
      <c r="E10" s="105"/>
      <c r="F10" s="35"/>
      <c r="G10" s="35"/>
    </row>
    <row r="11" spans="1:23" x14ac:dyDescent="0.3">
      <c r="A11" s="32"/>
      <c r="B11" s="33"/>
      <c r="C11" s="33"/>
      <c r="D11" s="33"/>
      <c r="E11" s="33"/>
      <c r="F11" s="32"/>
      <c r="G11" s="32"/>
    </row>
    <row r="12" spans="1:23" s="95" customFormat="1" ht="42" customHeight="1" x14ac:dyDescent="0.3">
      <c r="A12" s="73"/>
      <c r="B12" s="74" t="s">
        <v>220</v>
      </c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</row>
    <row r="13" spans="1:23" s="78" customFormat="1" ht="38.25" customHeight="1" outlineLevel="1" x14ac:dyDescent="0.3">
      <c r="A13" s="77"/>
      <c r="B13" s="106" t="s">
        <v>221</v>
      </c>
      <c r="C13" s="106"/>
      <c r="D13" s="106"/>
      <c r="E13" s="106"/>
      <c r="F13" s="77"/>
      <c r="G13" s="77"/>
    </row>
    <row r="14" spans="1:23" s="3" customFormat="1" x14ac:dyDescent="0.3">
      <c r="A14" s="79"/>
      <c r="B14" s="79"/>
      <c r="C14" s="79"/>
      <c r="D14" s="79"/>
      <c r="E14" s="79"/>
      <c r="F14" s="79"/>
      <c r="G14" s="79"/>
    </row>
    <row r="15" spans="1:23" ht="36.6" x14ac:dyDescent="0.3">
      <c r="A15" s="27"/>
      <c r="B15" s="28" t="s">
        <v>3</v>
      </c>
      <c r="C15" s="29"/>
      <c r="D15" s="30"/>
      <c r="E15" s="30"/>
      <c r="F15" s="30"/>
      <c r="G15" s="30"/>
    </row>
    <row r="16" spans="1:23" outlineLevel="1" x14ac:dyDescent="0.3">
      <c r="A16" s="31"/>
      <c r="B16" s="34" t="s">
        <v>102</v>
      </c>
      <c r="C16" s="31"/>
      <c r="D16" s="37"/>
      <c r="E16" s="31"/>
      <c r="F16" s="31"/>
      <c r="G16" s="31"/>
    </row>
    <row r="17" spans="1:7" x14ac:dyDescent="0.3">
      <c r="A17" s="32"/>
      <c r="B17" s="32"/>
      <c r="C17" s="32"/>
      <c r="D17" s="32"/>
      <c r="E17" s="32"/>
      <c r="F17" s="32"/>
      <c r="G17" s="32"/>
    </row>
    <row r="18" spans="1:7" ht="36.6" x14ac:dyDescent="0.3">
      <c r="A18" s="27"/>
      <c r="B18" s="28" t="s">
        <v>4</v>
      </c>
      <c r="C18" s="29"/>
      <c r="D18" s="30"/>
      <c r="E18" s="30"/>
      <c r="F18" s="30"/>
      <c r="G18" s="30"/>
    </row>
    <row r="19" spans="1:7" outlineLevel="1" x14ac:dyDescent="0.3">
      <c r="A19" s="31"/>
      <c r="B19" s="102" t="s">
        <v>103</v>
      </c>
      <c r="C19" s="102"/>
      <c r="D19" s="102"/>
      <c r="E19" s="102"/>
      <c r="F19" s="31"/>
      <c r="G19" s="31"/>
    </row>
    <row r="20" spans="1:7" x14ac:dyDescent="0.3">
      <c r="A20" s="32"/>
      <c r="B20" s="32"/>
      <c r="C20" s="32"/>
      <c r="D20" s="32"/>
      <c r="E20" s="32"/>
      <c r="F20" s="32"/>
      <c r="G20" s="32"/>
    </row>
  </sheetData>
  <sheetProtection sheet="1" objects="1" scenarios="1" formatCells="0" formatColumns="0" formatRows="0" insertHyperlinks="0" sort="0" autoFilter="0" pivotTables="0"/>
  <mergeCells count="6">
    <mergeCell ref="B19:E19"/>
    <mergeCell ref="A2:G2"/>
    <mergeCell ref="A3:G3"/>
    <mergeCell ref="B10:E10"/>
    <mergeCell ref="B7:E7"/>
    <mergeCell ref="B13:E13"/>
  </mergeCells>
  <hyperlinks>
    <hyperlink ref="B19:E19" r:id="rId1" display="Pour toute information concernant ce document, merci de joindre Françoise Bertrand (71.90) - francoise.bertrand@ifpen.fr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">
    <tabColor rgb="FFFF0000"/>
  </sheetPr>
  <dimension ref="A1:H196"/>
  <sheetViews>
    <sheetView showGridLines="0" showRowColHeaders="0" tabSelected="1" topLeftCell="A43" zoomScale="120" zoomScaleNormal="120" workbookViewId="0">
      <selection activeCell="G49" sqref="G49"/>
    </sheetView>
  </sheetViews>
  <sheetFormatPr baseColWidth="10" defaultColWidth="11.44140625" defaultRowHeight="14.4" zeroHeight="1" x14ac:dyDescent="0.3"/>
  <cols>
    <col min="1" max="1" width="1.6640625" style="3" customWidth="1"/>
    <col min="2" max="2" width="1.5546875" style="3" customWidth="1"/>
    <col min="3" max="3" width="60" style="3" customWidth="1"/>
    <col min="4" max="4" width="1.5546875" style="3" customWidth="1"/>
    <col min="5" max="5" width="57.33203125" style="3" customWidth="1"/>
    <col min="6" max="6" width="1.44140625" style="3" customWidth="1"/>
    <col min="7" max="7" width="11.44140625" style="3"/>
    <col min="8" max="8" width="13.33203125" style="18" hidden="1" customWidth="1"/>
    <col min="9" max="16384" width="11.44140625" style="3"/>
  </cols>
  <sheetData>
    <row r="1" spans="2:8" ht="10.5" customHeight="1" x14ac:dyDescent="0.3">
      <c r="H1" s="88" t="s">
        <v>133</v>
      </c>
    </row>
    <row r="2" spans="2:8" ht="57" customHeight="1" x14ac:dyDescent="0.3">
      <c r="B2" s="4"/>
      <c r="C2" s="4"/>
      <c r="D2" s="4"/>
      <c r="E2" s="4"/>
      <c r="F2" s="4"/>
      <c r="H2" s="89">
        <v>1</v>
      </c>
    </row>
    <row r="3" spans="2:8" x14ac:dyDescent="0.3">
      <c r="B3" s="107" t="s">
        <v>144</v>
      </c>
      <c r="C3" s="108"/>
      <c r="D3" s="108"/>
      <c r="E3" s="108"/>
      <c r="F3" s="109"/>
    </row>
    <row r="4" spans="2:8" ht="4.95" customHeight="1" x14ac:dyDescent="0.3">
      <c r="B4" s="92"/>
      <c r="C4" s="92"/>
    </row>
    <row r="5" spans="2:8" x14ac:dyDescent="0.3">
      <c r="B5" s="112" t="str">
        <f>UPPER("1 - Partie réservée aux auteurs")</f>
        <v>1 - PARTIE RÉSERVÉE AUX AUTEURS</v>
      </c>
      <c r="C5" s="113"/>
      <c r="D5" s="114"/>
      <c r="E5" s="114"/>
      <c r="F5" s="115"/>
      <c r="H5" s="88" t="s">
        <v>125</v>
      </c>
    </row>
    <row r="6" spans="2:8" ht="15" x14ac:dyDescent="0.3">
      <c r="B6" s="5"/>
      <c r="C6" s="6" t="s">
        <v>145</v>
      </c>
      <c r="D6" s="6"/>
      <c r="E6" s="6" t="s">
        <v>14</v>
      </c>
      <c r="F6" s="7"/>
      <c r="H6" s="89" t="b">
        <f>COUNTA(_FORM_USER,_FORM_DATE_1,C9,E9,C11,C13,C19,E19,_FORM_VERROU) = 9</f>
        <v>1</v>
      </c>
    </row>
    <row r="7" spans="2:8" x14ac:dyDescent="0.3">
      <c r="B7" s="8"/>
      <c r="C7" s="38" t="s">
        <v>239</v>
      </c>
      <c r="D7" s="9"/>
      <c r="E7" s="39">
        <v>45110</v>
      </c>
      <c r="F7" s="7"/>
    </row>
    <row r="8" spans="2:8" x14ac:dyDescent="0.3">
      <c r="B8" s="8"/>
      <c r="C8" s="6" t="s">
        <v>107</v>
      </c>
      <c r="D8" s="9"/>
      <c r="E8" s="6" t="s">
        <v>227</v>
      </c>
      <c r="F8" s="7"/>
      <c r="H8" s="88" t="s">
        <v>9</v>
      </c>
    </row>
    <row r="9" spans="2:8" x14ac:dyDescent="0.3">
      <c r="B9" s="8"/>
      <c r="C9" s="38" t="s">
        <v>108</v>
      </c>
      <c r="D9" s="9"/>
      <c r="E9" s="38" t="s">
        <v>249</v>
      </c>
      <c r="F9" s="7"/>
      <c r="H9" s="89"/>
    </row>
    <row r="10" spans="2:8" x14ac:dyDescent="0.3">
      <c r="B10" s="5"/>
      <c r="C10" s="6" t="s">
        <v>163</v>
      </c>
      <c r="D10" s="6"/>
      <c r="E10" s="6"/>
      <c r="F10" s="10"/>
      <c r="H10" s="3"/>
    </row>
    <row r="11" spans="2:8" ht="44.25" customHeight="1" x14ac:dyDescent="0.3">
      <c r="B11" s="8"/>
      <c r="C11" s="116" t="s">
        <v>243</v>
      </c>
      <c r="D11" s="117"/>
      <c r="E11" s="118"/>
      <c r="F11" s="7"/>
    </row>
    <row r="12" spans="2:8" x14ac:dyDescent="0.3">
      <c r="B12" s="8"/>
      <c r="C12" s="6" t="s">
        <v>146</v>
      </c>
      <c r="D12" s="9"/>
      <c r="E12" s="6"/>
      <c r="F12" s="7"/>
    </row>
    <row r="13" spans="2:8" x14ac:dyDescent="0.3">
      <c r="B13" s="8"/>
      <c r="C13" s="116" t="s">
        <v>250</v>
      </c>
      <c r="D13" s="117"/>
      <c r="E13" s="118"/>
      <c r="F13" s="7"/>
    </row>
    <row r="14" spans="2:8" x14ac:dyDescent="0.3">
      <c r="B14" s="5"/>
      <c r="C14" s="6" t="s">
        <v>164</v>
      </c>
      <c r="D14" s="6"/>
      <c r="E14" s="6"/>
      <c r="F14" s="10"/>
    </row>
    <row r="15" spans="2:8" x14ac:dyDescent="0.3">
      <c r="B15" s="8"/>
      <c r="C15" s="96">
        <v>2023</v>
      </c>
      <c r="D15" s="9"/>
      <c r="E15" s="6"/>
      <c r="F15" s="10"/>
    </row>
    <row r="16" spans="2:8" x14ac:dyDescent="0.3">
      <c r="B16" s="8"/>
      <c r="C16" s="6" t="s">
        <v>165</v>
      </c>
      <c r="D16" s="9"/>
      <c r="E16" s="6"/>
      <c r="F16" s="10"/>
    </row>
    <row r="17" spans="2:8" ht="30" customHeight="1" x14ac:dyDescent="0.3">
      <c r="B17" s="8"/>
      <c r="C17" s="116"/>
      <c r="D17" s="117"/>
      <c r="E17" s="118"/>
      <c r="F17" s="7"/>
    </row>
    <row r="18" spans="2:8" x14ac:dyDescent="0.3">
      <c r="B18" s="5"/>
      <c r="C18" s="6" t="s">
        <v>147</v>
      </c>
      <c r="D18" s="6"/>
      <c r="E18" s="6" t="s">
        <v>166</v>
      </c>
      <c r="F18" s="10"/>
    </row>
    <row r="19" spans="2:8" x14ac:dyDescent="0.3">
      <c r="B19" s="8"/>
      <c r="C19" s="101" t="s">
        <v>240</v>
      </c>
      <c r="D19" s="9"/>
      <c r="E19" s="19" t="s">
        <v>242</v>
      </c>
      <c r="F19" s="10"/>
    </row>
    <row r="20" spans="2:8" x14ac:dyDescent="0.3">
      <c r="B20" s="8"/>
      <c r="C20" s="6" t="s">
        <v>148</v>
      </c>
      <c r="D20" s="9"/>
      <c r="E20" s="9"/>
      <c r="F20" s="7"/>
    </row>
    <row r="21" spans="2:8" x14ac:dyDescent="0.3">
      <c r="B21" s="8"/>
      <c r="C21" s="116" t="s">
        <v>21</v>
      </c>
      <c r="D21" s="117"/>
      <c r="E21" s="118"/>
      <c r="F21" s="7"/>
    </row>
    <row r="22" spans="2:8" x14ac:dyDescent="0.3">
      <c r="B22" s="5"/>
      <c r="C22" s="6" t="s">
        <v>149</v>
      </c>
      <c r="D22" s="6"/>
      <c r="E22" s="6"/>
      <c r="F22" s="10"/>
    </row>
    <row r="23" spans="2:8" x14ac:dyDescent="0.3">
      <c r="B23" s="8"/>
      <c r="C23" s="122" t="s">
        <v>204</v>
      </c>
      <c r="D23" s="123"/>
      <c r="E23" s="124"/>
      <c r="F23" s="7"/>
    </row>
    <row r="24" spans="2:8" x14ac:dyDescent="0.3">
      <c r="B24" s="8"/>
      <c r="C24" s="9"/>
      <c r="D24" s="9"/>
      <c r="E24" s="9"/>
      <c r="F24" s="7"/>
    </row>
    <row r="25" spans="2:8" x14ac:dyDescent="0.3">
      <c r="B25" s="8"/>
      <c r="C25" s="66" t="s">
        <v>97</v>
      </c>
      <c r="D25" s="9"/>
      <c r="E25" s="9"/>
      <c r="F25" s="7"/>
    </row>
    <row r="26" spans="2:8" ht="28.2" customHeight="1" x14ac:dyDescent="0.3">
      <c r="B26" s="5"/>
      <c r="C26" s="6" t="s">
        <v>92</v>
      </c>
      <c r="D26" s="6"/>
      <c r="E26" s="67" t="s">
        <v>93</v>
      </c>
      <c r="F26" s="7"/>
    </row>
    <row r="27" spans="2:8" x14ac:dyDescent="0.3">
      <c r="B27" s="8"/>
      <c r="C27" s="69" t="s">
        <v>246</v>
      </c>
      <c r="D27" s="9"/>
      <c r="E27" s="69" t="s">
        <v>246</v>
      </c>
      <c r="F27" s="7"/>
    </row>
    <row r="28" spans="2:8" x14ac:dyDescent="0.3">
      <c r="B28" s="8"/>
      <c r="C28" s="9"/>
      <c r="D28" s="9"/>
      <c r="E28" s="9"/>
      <c r="F28" s="7"/>
    </row>
    <row r="29" spans="2:8" x14ac:dyDescent="0.3">
      <c r="B29" s="119" t="str">
        <f>UPPER("2 - Partie réservée au chef de projet")</f>
        <v>2 - PARTIE RÉSERVÉE AU CHEF DE PROJET</v>
      </c>
      <c r="C29" s="114"/>
      <c r="D29" s="114"/>
      <c r="E29" s="114"/>
      <c r="F29" s="115"/>
      <c r="H29" s="88" t="s">
        <v>127</v>
      </c>
    </row>
    <row r="30" spans="2:8" x14ac:dyDescent="0.3">
      <c r="B30" s="5"/>
      <c r="C30" s="6" t="s">
        <v>106</v>
      </c>
      <c r="D30" s="6"/>
      <c r="E30" s="6" t="s">
        <v>14</v>
      </c>
      <c r="F30" s="7"/>
      <c r="H30" s="89" t="b">
        <f>AND(_FORM_STEP_2,C31&lt;&gt;"",E31&lt;&gt;"",C36&lt;&gt;"",C38&lt;&gt;"",C40&lt;&gt;"",OR(C40="Non",E40&lt;&gt;""),C44&lt;&gt;"",OR(C44="Non",E44&lt;&gt;""),C49&lt;&gt;"",OR(C49="Accord",E49&lt;&gt;""))</f>
        <v>1</v>
      </c>
    </row>
    <row r="31" spans="2:8" x14ac:dyDescent="0.3">
      <c r="B31" s="8"/>
      <c r="C31" s="38" t="s">
        <v>241</v>
      </c>
      <c r="D31" s="65"/>
      <c r="E31" s="39">
        <v>45110</v>
      </c>
      <c r="F31" s="7"/>
    </row>
    <row r="32" spans="2:8" ht="9" customHeight="1" x14ac:dyDescent="0.3">
      <c r="B32" s="8"/>
      <c r="C32" s="9"/>
      <c r="D32" s="9"/>
      <c r="E32" s="9"/>
      <c r="F32" s="7"/>
    </row>
    <row r="33" spans="1:6" x14ac:dyDescent="0.3">
      <c r="A33" s="11"/>
      <c r="B33" s="12"/>
      <c r="C33" s="125" t="s">
        <v>94</v>
      </c>
      <c r="D33" s="125"/>
      <c r="E33" s="125"/>
      <c r="F33" s="13"/>
    </row>
    <row r="34" spans="1:6" x14ac:dyDescent="0.3">
      <c r="A34" s="11"/>
      <c r="B34" s="12"/>
      <c r="C34" s="65" t="s">
        <v>95</v>
      </c>
      <c r="D34" s="65"/>
      <c r="E34" s="65"/>
      <c r="F34" s="13"/>
    </row>
    <row r="35" spans="1:6" x14ac:dyDescent="0.3">
      <c r="B35" s="5"/>
      <c r="C35" s="6" t="s">
        <v>152</v>
      </c>
      <c r="D35" s="6"/>
      <c r="E35" s="65"/>
      <c r="F35" s="7"/>
    </row>
    <row r="36" spans="1:6" x14ac:dyDescent="0.3">
      <c r="B36" s="8"/>
      <c r="C36" s="69" t="s">
        <v>244</v>
      </c>
      <c r="D36" s="9"/>
      <c r="E36" s="65"/>
      <c r="F36" s="7"/>
    </row>
    <row r="37" spans="1:6" x14ac:dyDescent="0.3">
      <c r="B37" s="8"/>
      <c r="C37" s="68" t="s">
        <v>153</v>
      </c>
      <c r="D37" s="9"/>
      <c r="E37" s="65"/>
      <c r="F37" s="7"/>
    </row>
    <row r="38" spans="1:6" x14ac:dyDescent="0.3">
      <c r="B38" s="8"/>
      <c r="C38" s="69" t="s">
        <v>244</v>
      </c>
      <c r="D38" s="9"/>
      <c r="E38" s="65"/>
      <c r="F38" s="7"/>
    </row>
    <row r="39" spans="1:6" ht="31.2" customHeight="1" x14ac:dyDescent="0.3">
      <c r="B39" s="5"/>
      <c r="C39" s="65" t="s">
        <v>154</v>
      </c>
      <c r="D39" s="6"/>
      <c r="E39" s="68" t="s">
        <v>224</v>
      </c>
      <c r="F39" s="7"/>
    </row>
    <row r="40" spans="1:6" x14ac:dyDescent="0.3">
      <c r="B40" s="8"/>
      <c r="C40" s="69" t="s">
        <v>244</v>
      </c>
      <c r="D40" s="9"/>
      <c r="E40" s="69"/>
      <c r="F40" s="7"/>
    </row>
    <row r="41" spans="1:6" ht="9" customHeight="1" x14ac:dyDescent="0.3">
      <c r="B41" s="8"/>
      <c r="C41" s="9"/>
      <c r="D41" s="9"/>
      <c r="E41" s="9"/>
      <c r="F41" s="7"/>
    </row>
    <row r="42" spans="1:6" x14ac:dyDescent="0.3">
      <c r="A42" s="11"/>
      <c r="B42" s="12"/>
      <c r="C42" s="125" t="s">
        <v>96</v>
      </c>
      <c r="D42" s="125"/>
      <c r="E42" s="125"/>
      <c r="F42" s="13"/>
    </row>
    <row r="43" spans="1:6" x14ac:dyDescent="0.3">
      <c r="B43" s="5"/>
      <c r="C43" s="6" t="s">
        <v>155</v>
      </c>
      <c r="D43" s="6"/>
      <c r="E43" s="68" t="s">
        <v>156</v>
      </c>
      <c r="F43" s="7"/>
    </row>
    <row r="44" spans="1:6" x14ac:dyDescent="0.3">
      <c r="B44" s="8"/>
      <c r="C44" s="69" t="s">
        <v>244</v>
      </c>
      <c r="D44" s="9"/>
      <c r="E44" s="69"/>
      <c r="F44" s="7"/>
    </row>
    <row r="45" spans="1:6" x14ac:dyDescent="0.3">
      <c r="B45" s="5"/>
      <c r="C45" s="9"/>
      <c r="D45" s="6"/>
      <c r="E45" s="68" t="s">
        <v>99</v>
      </c>
      <c r="F45" s="7"/>
    </row>
    <row r="46" spans="1:6" x14ac:dyDescent="0.3">
      <c r="B46" s="8"/>
      <c r="C46" s="9"/>
      <c r="D46" s="9"/>
      <c r="E46" s="69"/>
      <c r="F46" s="7"/>
    </row>
    <row r="47" spans="1:6" ht="9" customHeight="1" x14ac:dyDescent="0.3">
      <c r="B47" s="8"/>
      <c r="C47" s="9"/>
      <c r="D47" s="9"/>
      <c r="E47" s="9"/>
      <c r="F47" s="7"/>
    </row>
    <row r="48" spans="1:6" x14ac:dyDescent="0.3">
      <c r="B48" s="5"/>
      <c r="C48" s="6" t="s">
        <v>157</v>
      </c>
      <c r="D48" s="6"/>
      <c r="E48" s="67" t="s">
        <v>158</v>
      </c>
      <c r="F48" s="7"/>
    </row>
    <row r="49" spans="2:8" x14ac:dyDescent="0.3">
      <c r="B49" s="8"/>
      <c r="C49" s="69" t="s">
        <v>245</v>
      </c>
      <c r="D49" s="9"/>
      <c r="E49" s="69"/>
      <c r="F49" s="7"/>
    </row>
    <row r="50" spans="2:8" x14ac:dyDescent="0.3">
      <c r="B50" s="14"/>
      <c r="C50" s="15"/>
      <c r="D50" s="15"/>
      <c r="E50" s="15"/>
      <c r="F50" s="16"/>
    </row>
    <row r="51" spans="2:8" x14ac:dyDescent="0.3">
      <c r="B51" s="119" t="str">
        <f>UPPER("3 - Avis du directeur ou de l’adjoint scientifique au directeur")</f>
        <v>3 - AVIS DU DIRECTEUR OU DE L’ADJOINT SCIENTIFIQUE AU DIRECTEUR</v>
      </c>
      <c r="C51" s="114"/>
      <c r="D51" s="114"/>
      <c r="E51" s="114"/>
      <c r="F51" s="115"/>
      <c r="H51" s="88" t="s">
        <v>126</v>
      </c>
    </row>
    <row r="52" spans="2:8" x14ac:dyDescent="0.3">
      <c r="B52" s="5"/>
      <c r="C52" s="6" t="s">
        <v>105</v>
      </c>
      <c r="D52" s="6"/>
      <c r="E52" s="6" t="s">
        <v>14</v>
      </c>
      <c r="F52" s="7"/>
      <c r="H52" s="89" t="b">
        <f>AND(_FORM_STEP_1,C53&lt;&gt;"",E53&lt;&gt;"",C55&lt;&gt;"",OR(C55="Oui",E55&lt;&gt;""),OR(C55="Non",C57&lt;&gt;""))</f>
        <v>1</v>
      </c>
    </row>
    <row r="53" spans="2:8" x14ac:dyDescent="0.3">
      <c r="B53" s="8"/>
      <c r="C53" s="38" t="s">
        <v>247</v>
      </c>
      <c r="D53" s="9"/>
      <c r="E53" s="39">
        <v>45110</v>
      </c>
      <c r="F53" s="7"/>
    </row>
    <row r="54" spans="2:8" x14ac:dyDescent="0.3">
      <c r="B54" s="5"/>
      <c r="C54" s="6" t="s">
        <v>150</v>
      </c>
      <c r="D54" s="6"/>
      <c r="E54" s="67" t="s">
        <v>98</v>
      </c>
      <c r="F54" s="7"/>
    </row>
    <row r="55" spans="2:8" x14ac:dyDescent="0.3">
      <c r="B55" s="8"/>
      <c r="C55" s="69" t="s">
        <v>248</v>
      </c>
      <c r="D55" s="9"/>
      <c r="E55" s="69"/>
      <c r="F55" s="7"/>
    </row>
    <row r="56" spans="2:8" x14ac:dyDescent="0.3">
      <c r="B56" s="5"/>
      <c r="C56" s="64" t="s">
        <v>151</v>
      </c>
      <c r="D56" s="6"/>
      <c r="E56" s="9"/>
      <c r="F56" s="7"/>
    </row>
    <row r="57" spans="2:8" x14ac:dyDescent="0.3">
      <c r="B57" s="8"/>
      <c r="C57" s="69" t="s">
        <v>248</v>
      </c>
      <c r="D57" s="9"/>
      <c r="E57" s="9"/>
      <c r="F57" s="7"/>
    </row>
    <row r="58" spans="2:8" ht="81.75" customHeight="1" x14ac:dyDescent="0.3">
      <c r="B58" s="8"/>
      <c r="C58" s="126" t="s">
        <v>230</v>
      </c>
      <c r="D58" s="127"/>
      <c r="E58" s="127"/>
      <c r="F58" s="7"/>
    </row>
    <row r="59" spans="2:8" x14ac:dyDescent="0.3">
      <c r="B59" s="8"/>
      <c r="C59" s="9"/>
      <c r="D59" s="9"/>
      <c r="E59" s="9"/>
      <c r="F59" s="7"/>
    </row>
    <row r="60" spans="2:8" x14ac:dyDescent="0.3">
      <c r="B60" s="119" t="str">
        <f>UPPER("4 – Après visa")</f>
        <v>4 – APRÈS VISA</v>
      </c>
      <c r="C60" s="114"/>
      <c r="D60" s="114"/>
      <c r="E60" s="114"/>
      <c r="F60" s="115"/>
    </row>
    <row r="61" spans="2:8" x14ac:dyDescent="0.3">
      <c r="B61" s="70"/>
      <c r="C61" s="71"/>
      <c r="D61" s="71"/>
      <c r="E61" s="71"/>
      <c r="F61" s="72"/>
    </row>
    <row r="62" spans="2:8" ht="29.25" customHeight="1" x14ac:dyDescent="0.3">
      <c r="B62" s="5"/>
      <c r="C62" s="120" t="s">
        <v>128</v>
      </c>
      <c r="D62" s="121"/>
      <c r="E62" s="121"/>
      <c r="F62" s="7"/>
    </row>
    <row r="63" spans="2:8" x14ac:dyDescent="0.3">
      <c r="B63" s="5"/>
      <c r="C63" s="110" t="s">
        <v>129</v>
      </c>
      <c r="D63" s="110"/>
      <c r="E63" s="110"/>
      <c r="F63" s="7"/>
    </row>
    <row r="64" spans="2:8" x14ac:dyDescent="0.3">
      <c r="B64" s="14"/>
      <c r="C64" s="15"/>
      <c r="D64" s="15"/>
      <c r="E64" s="15"/>
      <c r="F64" s="16"/>
    </row>
    <row r="65" spans="2:6" x14ac:dyDescent="0.3">
      <c r="B65" s="119" t="str">
        <f>UPPER("5 – Après parution de votre publication (article, ouvrage, actes, résumé, poster, etc.)")</f>
        <v>5 – APRÈS PARUTION DE VOTRE PUBLICATION (ARTICLE, OUVRAGE, ACTES, RÉSUMÉ, POSTER, ETC.)</v>
      </c>
      <c r="C65" s="114"/>
      <c r="D65" s="114"/>
      <c r="E65" s="114"/>
      <c r="F65" s="115"/>
    </row>
    <row r="66" spans="2:6" x14ac:dyDescent="0.3">
      <c r="B66" s="70"/>
      <c r="C66" s="71"/>
      <c r="D66" s="71"/>
      <c r="E66" s="71"/>
      <c r="F66" s="72"/>
    </row>
    <row r="67" spans="2:6" ht="26.7" customHeight="1" x14ac:dyDescent="0.3">
      <c r="B67" s="5"/>
      <c r="C67" s="110" t="s">
        <v>100</v>
      </c>
      <c r="D67" s="111"/>
      <c r="E67" s="111"/>
      <c r="F67" s="7"/>
    </row>
    <row r="68" spans="2:6" x14ac:dyDescent="0.3">
      <c r="B68" s="14"/>
      <c r="C68" s="15"/>
      <c r="D68" s="15"/>
      <c r="E68" s="15"/>
      <c r="F68" s="16"/>
    </row>
    <row r="69" spans="2:6" x14ac:dyDescent="0.3"/>
    <row r="70" spans="2:6" x14ac:dyDescent="0.3"/>
    <row r="71" spans="2:6" x14ac:dyDescent="0.3"/>
    <row r="72" spans="2:6" x14ac:dyDescent="0.3"/>
    <row r="73" spans="2:6" x14ac:dyDescent="0.3"/>
    <row r="74" spans="2:6" x14ac:dyDescent="0.3"/>
    <row r="75" spans="2:6" x14ac:dyDescent="0.3"/>
    <row r="76" spans="2:6" x14ac:dyDescent="0.3"/>
    <row r="77" spans="2:6" x14ac:dyDescent="0.3"/>
    <row r="78" spans="2:6" x14ac:dyDescent="0.3"/>
    <row r="79" spans="2:6" x14ac:dyDescent="0.3"/>
    <row r="80" spans="2:6" x14ac:dyDescent="0.3"/>
    <row r="81" x14ac:dyDescent="0.3"/>
    <row r="82" x14ac:dyDescent="0.3"/>
    <row r="83" x14ac:dyDescent="0.3"/>
    <row r="84" x14ac:dyDescent="0.3"/>
    <row r="85" x14ac:dyDescent="0.3"/>
    <row r="86" x14ac:dyDescent="0.3"/>
    <row r="87" x14ac:dyDescent="0.3"/>
    <row r="88" x14ac:dyDescent="0.3"/>
    <row r="89" x14ac:dyDescent="0.3"/>
    <row r="90" x14ac:dyDescent="0.3"/>
    <row r="91" x14ac:dyDescent="0.3"/>
    <row r="92" x14ac:dyDescent="0.3"/>
    <row r="93" x14ac:dyDescent="0.3"/>
    <row r="94" x14ac:dyDescent="0.3"/>
    <row r="95" x14ac:dyDescent="0.3"/>
    <row r="96" x14ac:dyDescent="0.3"/>
    <row r="97" x14ac:dyDescent="0.3"/>
    <row r="98" x14ac:dyDescent="0.3"/>
    <row r="99" x14ac:dyDescent="0.3"/>
    <row r="100" x14ac:dyDescent="0.3"/>
    <row r="101" x14ac:dyDescent="0.3"/>
    <row r="102" x14ac:dyDescent="0.3"/>
    <row r="103" x14ac:dyDescent="0.3"/>
    <row r="104" x14ac:dyDescent="0.3"/>
    <row r="105" x14ac:dyDescent="0.3"/>
    <row r="106" x14ac:dyDescent="0.3"/>
    <row r="107" x14ac:dyDescent="0.3"/>
    <row r="108" x14ac:dyDescent="0.3"/>
    <row r="109" x14ac:dyDescent="0.3"/>
    <row r="110" x14ac:dyDescent="0.3"/>
    <row r="111" x14ac:dyDescent="0.3"/>
    <row r="112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</sheetData>
  <sheetProtection sheet="1" objects="1" scenarios="1" formatCells="0" formatColumns="0" formatRows="0" insertHyperlinks="0" sort="0" autoFilter="0" pivotTables="0"/>
  <mergeCells count="17">
    <mergeCell ref="C63:E63"/>
    <mergeCell ref="B3:F3"/>
    <mergeCell ref="C67:E67"/>
    <mergeCell ref="B5:F5"/>
    <mergeCell ref="C21:E21"/>
    <mergeCell ref="B51:F51"/>
    <mergeCell ref="C62:E62"/>
    <mergeCell ref="C13:E13"/>
    <mergeCell ref="C11:E11"/>
    <mergeCell ref="C17:E17"/>
    <mergeCell ref="C23:E23"/>
    <mergeCell ref="B60:F60"/>
    <mergeCell ref="B65:F65"/>
    <mergeCell ref="C42:E42"/>
    <mergeCell ref="C58:E58"/>
    <mergeCell ref="B29:F29"/>
    <mergeCell ref="C33:E33"/>
  </mergeCells>
  <conditionalFormatting sqref="C7 E7 C9 E9 C11:E11 C13:E13 E19 C21:E21">
    <cfRule type="containsBlanks" dxfId="48" priority="17">
      <formula>LEN(TRIM(C7))=0</formula>
    </cfRule>
  </conditionalFormatting>
  <conditionalFormatting sqref="E55">
    <cfRule type="expression" dxfId="47" priority="16">
      <formula>AND($C$55="Non",$E$55="")</formula>
    </cfRule>
  </conditionalFormatting>
  <conditionalFormatting sqref="E40">
    <cfRule type="expression" dxfId="46" priority="15">
      <formula>AND($C$40="Oui",$E$40="")</formula>
    </cfRule>
  </conditionalFormatting>
  <conditionalFormatting sqref="E49">
    <cfRule type="expression" dxfId="45" priority="14">
      <formula>AND($C$49="Refus",$E$49="")</formula>
    </cfRule>
  </conditionalFormatting>
  <conditionalFormatting sqref="C57">
    <cfRule type="expression" dxfId="44" priority="11">
      <formula>AND($C$55="Oui",$C$57="")</formula>
    </cfRule>
  </conditionalFormatting>
  <conditionalFormatting sqref="C53 E53 C55">
    <cfRule type="expression" dxfId="43" priority="9">
      <formula>C53=""</formula>
    </cfRule>
  </conditionalFormatting>
  <conditionalFormatting sqref="C31 E31 C36 C40 C44 C49 C38">
    <cfRule type="expression" dxfId="42" priority="8">
      <formula>C31=""</formula>
    </cfRule>
  </conditionalFormatting>
  <conditionalFormatting sqref="E44">
    <cfRule type="expression" dxfId="41" priority="3">
      <formula>AND($C$44="Oui",$E$44="")</formula>
    </cfRule>
  </conditionalFormatting>
  <dataValidations count="10">
    <dataValidation type="list" allowBlank="1" showInputMessage="1" showErrorMessage="1" sqref="C21:E21" xr:uid="{48CC708B-7F23-46CA-8519-92EB9968ED61}">
      <formula1>_VERROUS</formula1>
    </dataValidation>
    <dataValidation type="list" allowBlank="1" showInputMessage="1" showErrorMessage="1" sqref="D23:E23" xr:uid="{CC3CE413-EEA6-4B86-A3A9-7CB5C0816014}">
      <formula1>_VS9_LIBELLE</formula1>
    </dataValidation>
    <dataValidation type="list" allowBlank="1" showInputMessage="1" showErrorMessage="1" sqref="C55 C44 C57 E44 C40 C36 C38" xr:uid="{1264E565-9915-483A-BDE6-018713A19545}">
      <formula1>"Oui,Non"</formula1>
    </dataValidation>
    <dataValidation type="list" allowBlank="1" showInputMessage="1" showErrorMessage="1" sqref="C49" xr:uid="{DD18C4F8-BFE6-47D1-B035-E1E8E9AE799D}">
      <formula1>"Accord,Refus"</formula1>
    </dataValidation>
    <dataValidation type="date" operator="greaterThanOrEqual" allowBlank="1" showInputMessage="1" showErrorMessage="1" sqref="E7 E31 E53" xr:uid="{2E8E7955-BA18-4681-89FF-E5BFEF8E4B95}">
      <formula1>43831</formula1>
    </dataValidation>
    <dataValidation type="list" allowBlank="1" showInputMessage="1" showErrorMessage="1" sqref="C27 E27" xr:uid="{8314AF04-E38A-4B4E-9BE1-68D00558ADD8}">
      <formula1>"Oui (par défaut),Non"</formula1>
    </dataValidation>
    <dataValidation type="list" allowBlank="1" showInputMessage="1" showErrorMessage="1" sqref="C9" xr:uid="{5BB38FBF-DED2-4C3D-B0E2-0DAC08EB333E}">
      <formula1>_TYPE_PUBLIC</formula1>
    </dataValidation>
    <dataValidation type="list" allowBlank="1" showInputMessage="1" showErrorMessage="1" sqref="H2" xr:uid="{41DC2A29-7A91-4B36-836F-01EC4BBC56DF}">
      <formula1>"1,2,3,4"</formula1>
    </dataValidation>
    <dataValidation type="whole" operator="greaterThanOrEqual" allowBlank="1" showInputMessage="1" showErrorMessage="1" sqref="C15" xr:uid="{5067573B-AF29-4945-BED1-EAC22AD49DC7}">
      <formula1>2020</formula1>
    </dataValidation>
    <dataValidation type="list" allowBlank="1" showInputMessage="1" showErrorMessage="1" sqref="C23" xr:uid="{5508E3CF-472A-4311-AFA0-EE06FCE5F7BE}">
      <formula1>_VS7_LIBELLE</formula1>
    </dataValidation>
  </dataValidations>
  <hyperlinks>
    <hyperlink ref="C67:E67" r:id="rId1" display="Veuillez faire  parvenir une copie complète de la version publiée, accompagnée de la page de titre du support et d'un résumé en français ou en anglais à la Direction Scientifique (BasePublications)" xr:uid="{686D3ECD-5DEF-47FC-8C4C-879F803F415C}"/>
    <hyperlink ref="C63:E63" r:id="rId2" display=" Pour tout renseignement concernant la saisie, adressez-vous à Françoise Bertrand (71.90) - francoise.bertrand@ifpen.fr" xr:uid="{5032F522-1D47-4E74-98EB-CF4FC78568E0}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arameters"/>
  <dimension ref="B1:AG12"/>
  <sheetViews>
    <sheetView showGridLines="0" showRowColHeaders="0" workbookViewId="0">
      <pane ySplit="2" topLeftCell="A3" activePane="bottomLeft" state="frozen"/>
      <selection pane="bottomLeft"/>
    </sheetView>
  </sheetViews>
  <sheetFormatPr baseColWidth="10" defaultColWidth="11.44140625" defaultRowHeight="14.4" x14ac:dyDescent="0.3"/>
  <cols>
    <col min="1" max="1" width="1.6640625" style="1" customWidth="1"/>
    <col min="2" max="2" width="22.33203125" style="1" customWidth="1"/>
    <col min="3" max="3" width="1.6640625" style="1" customWidth="1"/>
    <col min="4" max="4" width="42.33203125" style="1" bestFit="1" customWidth="1"/>
    <col min="5" max="5" width="1.44140625" style="1" customWidth="1"/>
    <col min="6" max="7" width="42.33203125" style="1" customWidth="1"/>
    <col min="8" max="8" width="68.44140625" style="1" bestFit="1" customWidth="1"/>
    <col min="9" max="10" width="42.33203125" style="1" customWidth="1"/>
    <col min="11" max="11" width="2.33203125" style="1" customWidth="1"/>
    <col min="12" max="12" width="113.44140625" style="17" bestFit="1" customWidth="1"/>
    <col min="13" max="13" width="1.44140625" style="1" customWidth="1"/>
    <col min="14" max="14" width="14.33203125" style="1" bestFit="1" customWidth="1"/>
    <col min="15" max="15" width="48.33203125" style="1" bestFit="1" customWidth="1"/>
    <col min="16" max="16" width="14.33203125" style="2" bestFit="1" customWidth="1"/>
    <col min="17" max="17" width="56.33203125" style="1" bestFit="1" customWidth="1"/>
    <col min="18" max="18" width="14.33203125" style="2" bestFit="1" customWidth="1"/>
    <col min="19" max="19" width="51.6640625" style="1" bestFit="1" customWidth="1"/>
    <col min="20" max="20" width="16" style="2" bestFit="1" customWidth="1"/>
    <col min="21" max="21" width="21.5546875" style="1" bestFit="1" customWidth="1"/>
    <col min="22" max="22" width="14.33203125" style="2" bestFit="1" customWidth="1"/>
    <col min="23" max="23" width="85.5546875" style="1" bestFit="1" customWidth="1"/>
    <col min="24" max="24" width="64" style="2" bestFit="1" customWidth="1"/>
    <col min="25" max="25" width="60.6640625" style="1" bestFit="1" customWidth="1"/>
    <col min="26" max="26" width="14.33203125" style="2" bestFit="1" customWidth="1"/>
    <col min="27" max="27" width="42.44140625" style="1" bestFit="1" customWidth="1"/>
    <col min="28" max="28" width="14.33203125" style="2" bestFit="1" customWidth="1"/>
    <col min="29" max="29" width="52.6640625" style="1" bestFit="1" customWidth="1"/>
    <col min="30" max="30" width="17" style="2" bestFit="1" customWidth="1"/>
    <col min="31" max="31" width="90.33203125" style="1" bestFit="1" customWidth="1"/>
    <col min="32" max="32" width="15.6640625" style="1" bestFit="1" customWidth="1"/>
    <col min="33" max="33" width="18.33203125" style="1" bestFit="1" customWidth="1"/>
    <col min="34" max="52" width="11.44140625" style="1"/>
    <col min="53" max="53" width="51.6640625" style="1" bestFit="1" customWidth="1"/>
    <col min="54" max="66" width="11.44140625" style="1"/>
    <col min="67" max="67" width="23.44140625" style="1" bestFit="1" customWidth="1"/>
    <col min="68" max="78" width="11.44140625" style="1"/>
    <col min="79" max="79" width="15.6640625" style="1" bestFit="1" customWidth="1"/>
    <col min="80" max="109" width="11.44140625" style="1"/>
    <col min="110" max="110" width="93.6640625" style="1" bestFit="1" customWidth="1"/>
    <col min="111" max="122" width="11.44140625" style="1"/>
    <col min="123" max="123" width="57.6640625" style="1" bestFit="1" customWidth="1"/>
    <col min="124" max="136" width="11.44140625" style="1"/>
    <col min="137" max="137" width="26" style="1" bestFit="1" customWidth="1"/>
    <col min="138" max="149" width="11.44140625" style="1"/>
    <col min="150" max="150" width="113.44140625" style="1" bestFit="1" customWidth="1"/>
    <col min="151" max="16384" width="11.44140625" style="1"/>
  </cols>
  <sheetData>
    <row r="1" spans="2:33" s="54" customFormat="1" x14ac:dyDescent="0.3">
      <c r="G1" s="94" t="s">
        <v>162</v>
      </c>
      <c r="H1" s="94" t="s">
        <v>159</v>
      </c>
      <c r="I1" s="94" t="s">
        <v>160</v>
      </c>
      <c r="J1" s="94" t="s">
        <v>161</v>
      </c>
      <c r="L1" s="61" t="s">
        <v>91</v>
      </c>
      <c r="N1" s="129" t="s">
        <v>15</v>
      </c>
      <c r="O1" s="129"/>
      <c r="P1" s="128" t="s">
        <v>16</v>
      </c>
      <c r="Q1" s="128"/>
      <c r="R1" s="128" t="s">
        <v>17</v>
      </c>
      <c r="S1" s="128"/>
      <c r="T1" s="130" t="s">
        <v>18</v>
      </c>
      <c r="U1" s="131"/>
      <c r="V1" s="128" t="s">
        <v>19</v>
      </c>
      <c r="W1" s="128"/>
      <c r="X1" s="58" t="s">
        <v>20</v>
      </c>
      <c r="Y1" s="56"/>
      <c r="Z1" s="128" t="s">
        <v>21</v>
      </c>
      <c r="AA1" s="128"/>
      <c r="AB1" s="128" t="s">
        <v>22</v>
      </c>
      <c r="AC1" s="128"/>
      <c r="AD1" s="128" t="s">
        <v>23</v>
      </c>
      <c r="AE1" s="128"/>
      <c r="AF1" s="128" t="s">
        <v>122</v>
      </c>
      <c r="AG1" s="128"/>
    </row>
    <row r="2" spans="2:33" x14ac:dyDescent="0.3">
      <c r="B2" s="90" t="s">
        <v>134</v>
      </c>
      <c r="D2" s="54" t="s">
        <v>107</v>
      </c>
      <c r="E2" s="54"/>
      <c r="F2" s="82" t="s">
        <v>116</v>
      </c>
      <c r="G2" s="60" t="s">
        <v>142</v>
      </c>
      <c r="H2" s="60" t="s">
        <v>139</v>
      </c>
      <c r="I2" s="60" t="s">
        <v>140</v>
      </c>
      <c r="J2" s="60" t="s">
        <v>141</v>
      </c>
      <c r="L2" s="60" t="s">
        <v>90</v>
      </c>
      <c r="N2" s="50" t="s">
        <v>30</v>
      </c>
      <c r="O2" s="50" t="s">
        <v>31</v>
      </c>
      <c r="P2" s="50" t="s">
        <v>35</v>
      </c>
      <c r="Q2" s="50" t="s">
        <v>36</v>
      </c>
      <c r="R2" s="50" t="s">
        <v>37</v>
      </c>
      <c r="S2" s="50" t="s">
        <v>38</v>
      </c>
      <c r="T2" s="50" t="s">
        <v>39</v>
      </c>
      <c r="U2" s="50" t="s">
        <v>40</v>
      </c>
      <c r="V2" s="50" t="s">
        <v>41</v>
      </c>
      <c r="W2" s="50" t="s">
        <v>42</v>
      </c>
      <c r="X2" s="50" t="s">
        <v>43</v>
      </c>
      <c r="Y2" s="50" t="s">
        <v>44</v>
      </c>
      <c r="Z2" s="50" t="s">
        <v>45</v>
      </c>
      <c r="AA2" s="50" t="s">
        <v>46</v>
      </c>
      <c r="AB2" s="50" t="s">
        <v>34</v>
      </c>
      <c r="AC2" s="50" t="s">
        <v>89</v>
      </c>
      <c r="AD2" s="50" t="s">
        <v>32</v>
      </c>
      <c r="AE2" s="50" t="s">
        <v>33</v>
      </c>
      <c r="AF2" s="50" t="s">
        <v>123</v>
      </c>
      <c r="AG2" s="50" t="s">
        <v>124</v>
      </c>
    </row>
    <row r="3" spans="2:33" x14ac:dyDescent="0.3">
      <c r="B3" s="91"/>
      <c r="D3" s="1" t="s">
        <v>109</v>
      </c>
      <c r="F3" s="86" t="s">
        <v>117</v>
      </c>
      <c r="G3" s="86">
        <f>_AUTHOR</f>
        <v>0</v>
      </c>
      <c r="H3" s="83"/>
      <c r="I3" s="83"/>
      <c r="J3" s="83" t="s">
        <v>130</v>
      </c>
      <c r="L3" s="62" t="s">
        <v>15</v>
      </c>
      <c r="N3" s="51" t="s">
        <v>24</v>
      </c>
      <c r="O3" s="52" t="s">
        <v>167</v>
      </c>
      <c r="P3" s="59" t="s">
        <v>47</v>
      </c>
      <c r="Q3" s="53" t="s">
        <v>173</v>
      </c>
      <c r="R3" s="57" t="s">
        <v>56</v>
      </c>
      <c r="S3" s="55" t="s">
        <v>182</v>
      </c>
      <c r="T3" s="57" t="s">
        <v>61</v>
      </c>
      <c r="U3" s="55" t="s">
        <v>187</v>
      </c>
      <c r="V3" s="57" t="s">
        <v>65</v>
      </c>
      <c r="W3" s="55" t="s">
        <v>191</v>
      </c>
      <c r="X3" s="57" t="s">
        <v>74</v>
      </c>
      <c r="Y3" s="55" t="s">
        <v>200</v>
      </c>
      <c r="Z3" s="57" t="s">
        <v>78</v>
      </c>
      <c r="AA3" s="55" t="s">
        <v>204</v>
      </c>
      <c r="AB3" s="57" t="s">
        <v>82</v>
      </c>
      <c r="AC3" s="55" t="s">
        <v>208</v>
      </c>
      <c r="AD3" s="57" t="s">
        <v>86</v>
      </c>
      <c r="AE3" s="55" t="s">
        <v>212</v>
      </c>
      <c r="AF3" s="57">
        <v>10.1</v>
      </c>
      <c r="AG3" s="55" t="s">
        <v>215</v>
      </c>
    </row>
    <row r="4" spans="2:33" ht="14.7" customHeight="1" x14ac:dyDescent="0.3">
      <c r="D4" s="1" t="s">
        <v>108</v>
      </c>
      <c r="F4" s="87" t="s">
        <v>118</v>
      </c>
      <c r="G4" s="87"/>
      <c r="H4" s="84"/>
      <c r="I4" s="84"/>
      <c r="J4" s="84" t="s">
        <v>135</v>
      </c>
      <c r="L4" s="63" t="s">
        <v>16</v>
      </c>
      <c r="N4" s="51" t="s">
        <v>25</v>
      </c>
      <c r="O4" s="52" t="s">
        <v>168</v>
      </c>
      <c r="P4" s="59" t="s">
        <v>48</v>
      </c>
      <c r="Q4" s="53" t="s">
        <v>174</v>
      </c>
      <c r="R4" s="57" t="s">
        <v>57</v>
      </c>
      <c r="S4" s="55" t="s">
        <v>183</v>
      </c>
      <c r="T4" s="57" t="s">
        <v>62</v>
      </c>
      <c r="U4" s="55" t="s">
        <v>188</v>
      </c>
      <c r="V4" s="57" t="s">
        <v>66</v>
      </c>
      <c r="W4" s="55" t="s">
        <v>192</v>
      </c>
      <c r="X4" s="57" t="s">
        <v>75</v>
      </c>
      <c r="Y4" s="55" t="s">
        <v>202</v>
      </c>
      <c r="Z4" s="57" t="s">
        <v>79</v>
      </c>
      <c r="AA4" s="55" t="s">
        <v>205</v>
      </c>
      <c r="AB4" s="57" t="s">
        <v>83</v>
      </c>
      <c r="AC4" s="55" t="s">
        <v>209</v>
      </c>
      <c r="AD4" s="57" t="s">
        <v>87</v>
      </c>
      <c r="AE4" s="55" t="s">
        <v>213</v>
      </c>
      <c r="AF4" s="55"/>
      <c r="AG4" s="55"/>
    </row>
    <row r="5" spans="2:33" x14ac:dyDescent="0.3">
      <c r="D5" s="1" t="s">
        <v>131</v>
      </c>
      <c r="F5" s="86" t="s">
        <v>119</v>
      </c>
      <c r="G5" s="86"/>
      <c r="H5" s="83"/>
      <c r="I5" s="83" t="str">
        <f>IF(_AUTHOR="","",_AUTHOR)</f>
        <v/>
      </c>
      <c r="J5" s="83" t="str">
        <f>IF(_AUTHOR="","",_AUTHOR)</f>
        <v/>
      </c>
      <c r="L5" s="63" t="s">
        <v>17</v>
      </c>
      <c r="N5" s="51" t="s">
        <v>26</v>
      </c>
      <c r="O5" s="52" t="s">
        <v>169</v>
      </c>
      <c r="P5" s="59" t="s">
        <v>49</v>
      </c>
      <c r="Q5" s="53" t="s">
        <v>175</v>
      </c>
      <c r="R5" s="57" t="s">
        <v>58</v>
      </c>
      <c r="S5" s="55" t="s">
        <v>184</v>
      </c>
      <c r="T5" s="57" t="s">
        <v>63</v>
      </c>
      <c r="U5" s="55" t="s">
        <v>189</v>
      </c>
      <c r="V5" s="57" t="s">
        <v>67</v>
      </c>
      <c r="W5" s="55" t="s">
        <v>193</v>
      </c>
      <c r="X5" s="57" t="s">
        <v>76</v>
      </c>
      <c r="Y5" s="55" t="s">
        <v>203</v>
      </c>
      <c r="Z5" s="57" t="s">
        <v>80</v>
      </c>
      <c r="AA5" s="55" t="s">
        <v>206</v>
      </c>
      <c r="AB5" s="57" t="s">
        <v>84</v>
      </c>
      <c r="AC5" s="55" t="s">
        <v>210</v>
      </c>
      <c r="AD5" s="57" t="s">
        <v>88</v>
      </c>
      <c r="AE5" s="55" t="s">
        <v>214</v>
      </c>
      <c r="AF5" s="55"/>
      <c r="AG5" s="55"/>
    </row>
    <row r="6" spans="2:33" ht="16.5" customHeight="1" x14ac:dyDescent="0.3">
      <c r="D6" s="1" t="s">
        <v>111</v>
      </c>
      <c r="F6" s="87" t="s">
        <v>120</v>
      </c>
      <c r="G6" s="87" t="s">
        <v>143</v>
      </c>
      <c r="H6" s="85" t="s">
        <v>138</v>
      </c>
      <c r="I6" s="85" t="s">
        <v>137</v>
      </c>
      <c r="J6" s="85" t="s">
        <v>136</v>
      </c>
      <c r="L6" s="63" t="s">
        <v>18</v>
      </c>
      <c r="N6" s="51" t="s">
        <v>27</v>
      </c>
      <c r="O6" s="52" t="s">
        <v>170</v>
      </c>
      <c r="P6" s="59" t="s">
        <v>50</v>
      </c>
      <c r="Q6" s="53" t="s">
        <v>176</v>
      </c>
      <c r="R6" s="57" t="s">
        <v>59</v>
      </c>
      <c r="S6" s="55" t="s">
        <v>185</v>
      </c>
      <c r="T6" s="57" t="s">
        <v>64</v>
      </c>
      <c r="U6" s="55" t="s">
        <v>190</v>
      </c>
      <c r="V6" s="57" t="s">
        <v>68</v>
      </c>
      <c r="W6" s="55" t="s">
        <v>194</v>
      </c>
      <c r="X6" s="57" t="s">
        <v>77</v>
      </c>
      <c r="Y6" s="55" t="s">
        <v>201</v>
      </c>
      <c r="Z6" s="57" t="s">
        <v>81</v>
      </c>
      <c r="AA6" s="55" t="s">
        <v>207</v>
      </c>
      <c r="AB6" s="57" t="s">
        <v>85</v>
      </c>
      <c r="AC6" s="55" t="s">
        <v>211</v>
      </c>
      <c r="AD6" s="57"/>
      <c r="AE6" s="55"/>
      <c r="AF6" s="55"/>
      <c r="AG6" s="55"/>
    </row>
    <row r="7" spans="2:33" ht="16.95" customHeight="1" x14ac:dyDescent="0.3">
      <c r="D7" s="1" t="s">
        <v>110</v>
      </c>
      <c r="F7" s="86" t="s">
        <v>121</v>
      </c>
      <c r="G7" s="93" t="str">
        <f>"Bonjour," &amp; CHAR(10) &amp; CHAR(10) &amp; "La Demande d'Autorisation de Publication a été refusée."  &amp;  CHAR(10) &amp; CHAR(10)  &amp; "Veuillez trouver, ci-joint, le détail de ce refus." &amp;  CHAR(10) &amp; CHAR(10) &amp; "Cordialement,"  &amp; CHAR(10) &amp; CHAR(10) &amp; _USER</f>
        <v xml:space="preserve">Bonjour,
La Demande d'Autorisation de Publication a été refusée.
Veuillez trouver, ci-joint, le détail de ce refus.
Cordialement,
</v>
      </c>
      <c r="H7" s="93" t="str">
        <f>"Bonjour," &amp; CHAR(10) &amp; CHAR(10) &amp; "Veuillez trouver, ci-joint, le Formulaire DAP à compléter." &amp;  CHAR(10) &amp; CHAR(10) &amp; "Cordialement,"  &amp; CHAR(10) &amp; CHAR(10) &amp; _USER</f>
        <v xml:space="preserve">Bonjour,
Veuillez trouver, ci-joint, le Formulaire DAP à compléter.
Cordialement,
</v>
      </c>
      <c r="I7" s="93" t="str">
        <f>"Bonjour," &amp; CHAR(10) &amp; CHAR(10) &amp; "Veuillez trouver, ci-joint, le Formulaire DAP à compléter." &amp;  CHAR(10) &amp; CHAR(10) &amp; "Cordialement,"  &amp; CHAR(10) &amp; CHAR(10) &amp; _USER</f>
        <v xml:space="preserve">Bonjour,
Veuillez trouver, ci-joint, le Formulaire DAP à compléter.
Cordialement,
</v>
      </c>
      <c r="J7" s="93" t="str">
        <f>"Bonjour," &amp; CHAR(10) &amp; CHAR(10) &amp; "Veuillez trouver, ci-joint, le Formulaire DAP à enregistrer." &amp;  CHAR(10) &amp; CHAR(10) &amp; "Cordialement,"  &amp; CHAR(10) &amp; CHAR(10) &amp; _USER</f>
        <v xml:space="preserve">Bonjour,
Veuillez trouver, ci-joint, le Formulaire DAP à enregistrer.
Cordialement,
</v>
      </c>
      <c r="L7" s="63" t="s">
        <v>19</v>
      </c>
      <c r="N7" s="51" t="s">
        <v>28</v>
      </c>
      <c r="O7" s="52" t="s">
        <v>171</v>
      </c>
      <c r="P7" s="59" t="s">
        <v>51</v>
      </c>
      <c r="Q7" s="53" t="s">
        <v>177</v>
      </c>
      <c r="R7" s="57" t="s">
        <v>60</v>
      </c>
      <c r="S7" s="55" t="s">
        <v>186</v>
      </c>
      <c r="T7" s="57"/>
      <c r="U7" s="55"/>
      <c r="V7" s="57" t="s">
        <v>69</v>
      </c>
      <c r="W7" s="55" t="s">
        <v>195</v>
      </c>
      <c r="X7" s="57"/>
      <c r="Y7" s="55"/>
      <c r="Z7" s="57"/>
      <c r="AA7" s="55"/>
      <c r="AB7" s="57"/>
      <c r="AC7" s="55"/>
      <c r="AD7" s="57"/>
      <c r="AE7" s="55"/>
      <c r="AF7" s="55"/>
      <c r="AG7" s="55"/>
    </row>
    <row r="8" spans="2:33" x14ac:dyDescent="0.3">
      <c r="D8" s="1" t="s">
        <v>132</v>
      </c>
      <c r="L8" s="63" t="s">
        <v>20</v>
      </c>
      <c r="N8" s="51" t="s">
        <v>29</v>
      </c>
      <c r="O8" s="52" t="s">
        <v>172</v>
      </c>
      <c r="P8" s="59" t="s">
        <v>52</v>
      </c>
      <c r="Q8" s="53" t="s">
        <v>178</v>
      </c>
      <c r="R8" s="57"/>
      <c r="S8" s="55"/>
      <c r="T8" s="57"/>
      <c r="U8" s="55"/>
      <c r="V8" s="57" t="s">
        <v>70</v>
      </c>
      <c r="W8" s="55" t="s">
        <v>196</v>
      </c>
      <c r="X8" s="57"/>
      <c r="Y8" s="55"/>
      <c r="Z8" s="57"/>
      <c r="AA8" s="55"/>
      <c r="AB8" s="57"/>
      <c r="AC8" s="55"/>
      <c r="AD8" s="57"/>
      <c r="AE8" s="55"/>
      <c r="AF8" s="55"/>
      <c r="AG8" s="55"/>
    </row>
    <row r="9" spans="2:33" ht="20.399999999999999" x14ac:dyDescent="0.3">
      <c r="D9" s="1" t="s">
        <v>113</v>
      </c>
      <c r="L9" s="63" t="s">
        <v>21</v>
      </c>
      <c r="N9" s="51"/>
      <c r="O9" s="52"/>
      <c r="P9" s="59" t="s">
        <v>53</v>
      </c>
      <c r="Q9" s="53" t="s">
        <v>179</v>
      </c>
      <c r="R9" s="57"/>
      <c r="S9" s="55"/>
      <c r="T9" s="57"/>
      <c r="U9" s="55"/>
      <c r="V9" s="57" t="s">
        <v>71</v>
      </c>
      <c r="W9" s="55" t="s">
        <v>197</v>
      </c>
      <c r="X9" s="57"/>
      <c r="Y9" s="55"/>
      <c r="Z9" s="57"/>
      <c r="AA9" s="55"/>
      <c r="AB9" s="57"/>
      <c r="AC9" s="55"/>
      <c r="AD9" s="57"/>
      <c r="AE9" s="55"/>
      <c r="AF9" s="55"/>
      <c r="AG9" s="55"/>
    </row>
    <row r="10" spans="2:33" x14ac:dyDescent="0.3">
      <c r="D10" s="1" t="s">
        <v>112</v>
      </c>
      <c r="L10" s="63" t="s">
        <v>22</v>
      </c>
      <c r="N10" s="51"/>
      <c r="O10" s="52"/>
      <c r="P10" s="59" t="s">
        <v>54</v>
      </c>
      <c r="Q10" s="53" t="s">
        <v>180</v>
      </c>
      <c r="R10" s="57"/>
      <c r="S10" s="55"/>
      <c r="T10" s="57"/>
      <c r="U10" s="55"/>
      <c r="V10" s="57" t="s">
        <v>72</v>
      </c>
      <c r="W10" s="55" t="s">
        <v>198</v>
      </c>
      <c r="X10" s="57"/>
      <c r="Y10" s="55"/>
      <c r="Z10" s="57"/>
      <c r="AA10" s="55"/>
      <c r="AB10" s="57"/>
      <c r="AC10" s="55"/>
      <c r="AD10" s="57"/>
      <c r="AE10" s="55"/>
      <c r="AF10" s="55"/>
      <c r="AG10" s="55"/>
    </row>
    <row r="11" spans="2:33" ht="14.7" customHeight="1" x14ac:dyDescent="0.3">
      <c r="L11" s="63" t="s">
        <v>23</v>
      </c>
      <c r="N11" s="51"/>
      <c r="O11" s="52"/>
      <c r="P11" s="59" t="s">
        <v>55</v>
      </c>
      <c r="Q11" s="53" t="s">
        <v>181</v>
      </c>
      <c r="R11" s="57"/>
      <c r="S11" s="55"/>
      <c r="T11" s="57"/>
      <c r="U11" s="55"/>
      <c r="V11" s="57" t="s">
        <v>73</v>
      </c>
      <c r="W11" s="55" t="s">
        <v>199</v>
      </c>
      <c r="X11" s="57"/>
      <c r="Y11" s="55"/>
      <c r="Z11" s="57"/>
      <c r="AA11" s="55"/>
      <c r="AB11" s="57"/>
      <c r="AC11" s="55"/>
      <c r="AD11" s="57"/>
      <c r="AE11" s="55"/>
      <c r="AF11" s="55"/>
      <c r="AG11" s="55"/>
    </row>
    <row r="12" spans="2:33" x14ac:dyDescent="0.3">
      <c r="L12" s="63" t="s">
        <v>122</v>
      </c>
    </row>
  </sheetData>
  <mergeCells count="9">
    <mergeCell ref="AF1:AG1"/>
    <mergeCell ref="N1:O1"/>
    <mergeCell ref="AD1:AE1"/>
    <mergeCell ref="P1:Q1"/>
    <mergeCell ref="R1:S1"/>
    <mergeCell ref="V1:W1"/>
    <mergeCell ref="Z1:AA1"/>
    <mergeCell ref="AB1:AC1"/>
    <mergeCell ref="T1:U1"/>
  </mergeCells>
  <phoneticPr fontId="31" type="noConversion"/>
  <hyperlinks>
    <hyperlink ref="J3" r:id="rId1" xr:uid="{FAC70065-94D5-4E59-8B77-678FF2ABAAC4}"/>
    <hyperlink ref="J4" r:id="rId2" xr:uid="{A90F00EE-AF11-4EF8-A7DE-B2DF96C0C230}"/>
  </hyperlinks>
  <pageMargins left="0.7" right="0.7" top="0.75" bottom="0.75" header="0.3" footer="0.3"/>
  <pageSetup paperSize="9" orientation="portrait" r:id="rId3"/>
  <drawing r:id="rId4"/>
  <tableParts count="4"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Versions"/>
  <dimension ref="A2:G14"/>
  <sheetViews>
    <sheetView showGridLines="0" showRowColHeaders="0" workbookViewId="0">
      <pane ySplit="4" topLeftCell="A5" activePane="bottomLeft" state="frozen"/>
      <selection activeCell="I29" sqref="I29"/>
      <selection pane="bottomLeft"/>
    </sheetView>
  </sheetViews>
  <sheetFormatPr baseColWidth="10" defaultColWidth="0" defaultRowHeight="14.4" x14ac:dyDescent="0.3"/>
  <cols>
    <col min="1" max="1" width="2.33203125" style="18" customWidth="1"/>
    <col min="2" max="2" width="12.44140625" style="40" bestFit="1" customWidth="1"/>
    <col min="3" max="3" width="21.6640625" style="18" bestFit="1" customWidth="1"/>
    <col min="4" max="4" width="59.5546875" style="18" customWidth="1"/>
    <col min="5" max="5" width="18.44140625" style="18" bestFit="1" customWidth="1"/>
    <col min="6" max="6" width="17.33203125" style="18" bestFit="1" customWidth="1"/>
    <col min="7" max="7" width="3.5546875" style="18" customWidth="1"/>
    <col min="8" max="16384" width="11.44140625" style="18" hidden="1"/>
  </cols>
  <sheetData>
    <row r="2" spans="2:6" ht="53.25" customHeight="1" x14ac:dyDescent="0.3"/>
    <row r="3" spans="2:6" ht="30.75" customHeight="1" x14ac:dyDescent="0.3"/>
    <row r="4" spans="2:6" x14ac:dyDescent="0.3">
      <c r="B4" s="41" t="s">
        <v>6</v>
      </c>
      <c r="C4" s="42" t="s">
        <v>7</v>
      </c>
      <c r="D4" s="43" t="s">
        <v>8</v>
      </c>
      <c r="E4" s="44" t="s">
        <v>9</v>
      </c>
      <c r="F4" s="45" t="s">
        <v>10</v>
      </c>
    </row>
    <row r="5" spans="2:6" x14ac:dyDescent="0.3">
      <c r="B5" s="46" t="s">
        <v>104</v>
      </c>
      <c r="C5" s="47">
        <v>44826</v>
      </c>
      <c r="D5" s="48" t="s">
        <v>11</v>
      </c>
      <c r="E5" s="49" t="s">
        <v>12</v>
      </c>
      <c r="F5" s="48" t="s">
        <v>13</v>
      </c>
    </row>
    <row r="6" spans="2:6" x14ac:dyDescent="0.3">
      <c r="B6" s="46" t="s">
        <v>114</v>
      </c>
      <c r="C6" s="80">
        <v>44839</v>
      </c>
      <c r="D6" s="81" t="s">
        <v>115</v>
      </c>
      <c r="E6" s="49" t="s">
        <v>12</v>
      </c>
      <c r="F6" s="81" t="s">
        <v>13</v>
      </c>
    </row>
    <row r="7" spans="2:6" x14ac:dyDescent="0.3">
      <c r="B7" s="46" t="s">
        <v>218</v>
      </c>
      <c r="C7" s="47">
        <v>44846</v>
      </c>
      <c r="D7" s="48" t="s">
        <v>219</v>
      </c>
      <c r="E7" s="49" t="s">
        <v>12</v>
      </c>
      <c r="F7" s="48" t="s">
        <v>13</v>
      </c>
    </row>
    <row r="8" spans="2:6" x14ac:dyDescent="0.3">
      <c r="B8" s="46" t="s">
        <v>222</v>
      </c>
      <c r="C8" s="47">
        <v>44846</v>
      </c>
      <c r="D8" s="48" t="s">
        <v>223</v>
      </c>
      <c r="E8" s="49" t="s">
        <v>12</v>
      </c>
      <c r="F8" s="48" t="s">
        <v>13</v>
      </c>
    </row>
    <row r="9" spans="2:6" x14ac:dyDescent="0.3">
      <c r="B9" s="46" t="s">
        <v>225</v>
      </c>
      <c r="C9" s="97">
        <v>44848</v>
      </c>
      <c r="D9" s="98" t="s">
        <v>226</v>
      </c>
      <c r="E9" s="49" t="s">
        <v>13</v>
      </c>
      <c r="F9" s="98" t="s">
        <v>13</v>
      </c>
    </row>
    <row r="10" spans="2:6" x14ac:dyDescent="0.3">
      <c r="B10" s="46" t="s">
        <v>228</v>
      </c>
      <c r="C10" s="47">
        <v>44867</v>
      </c>
      <c r="D10" s="48" t="s">
        <v>229</v>
      </c>
      <c r="E10" s="49" t="s">
        <v>12</v>
      </c>
      <c r="F10" s="48" t="s">
        <v>13</v>
      </c>
    </row>
    <row r="11" spans="2:6" x14ac:dyDescent="0.3">
      <c r="B11" s="46" t="s">
        <v>231</v>
      </c>
      <c r="C11" s="47">
        <v>44872</v>
      </c>
      <c r="D11" s="48" t="s">
        <v>232</v>
      </c>
      <c r="E11" s="49" t="s">
        <v>12</v>
      </c>
      <c r="F11" s="48" t="s">
        <v>13</v>
      </c>
    </row>
    <row r="12" spans="2:6" x14ac:dyDescent="0.3">
      <c r="B12" s="46" t="s">
        <v>233</v>
      </c>
      <c r="C12" s="99">
        <v>44901</v>
      </c>
      <c r="D12" s="100" t="s">
        <v>234</v>
      </c>
      <c r="E12" s="49" t="s">
        <v>12</v>
      </c>
      <c r="F12" s="100" t="s">
        <v>13</v>
      </c>
    </row>
    <row r="13" spans="2:6" x14ac:dyDescent="0.3">
      <c r="B13" s="46" t="s">
        <v>235</v>
      </c>
      <c r="C13" s="47">
        <v>44901</v>
      </c>
      <c r="D13" s="48" t="s">
        <v>236</v>
      </c>
      <c r="E13" s="49" t="s">
        <v>12</v>
      </c>
      <c r="F13" s="48" t="s">
        <v>13</v>
      </c>
    </row>
    <row r="14" spans="2:6" x14ac:dyDescent="0.3">
      <c r="B14" s="46" t="s">
        <v>237</v>
      </c>
      <c r="C14" s="47">
        <v>44907</v>
      </c>
      <c r="D14" s="48" t="s">
        <v>238</v>
      </c>
      <c r="E14" s="49" t="s">
        <v>12</v>
      </c>
      <c r="F14" s="48" t="s">
        <v>13</v>
      </c>
    </row>
  </sheetData>
  <sheetProtection formatCells="0" formatColumns="0" formatRows="0" insertHyperlinks="0" sort="0" autoFilter="0" pivotTables="0"/>
  <dataValidations count="1">
    <dataValidation type="date" operator="greaterThanOrEqual" allowBlank="1" showInputMessage="1" showErrorMessage="1" sqref="C5:C14" xr:uid="{00000000-0002-0000-0600-000000000000}">
      <formula1>43101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39</vt:i4>
      </vt:variant>
    </vt:vector>
  </HeadingPairs>
  <TitlesOfParts>
    <vt:vector size="41" baseType="lpstr">
      <vt:lpstr>Lisez-moi!</vt:lpstr>
      <vt:lpstr>Formulaire</vt:lpstr>
      <vt:lpstr>_AUTHOR</vt:lpstr>
      <vt:lpstr>Formulaire!_CURRENT_STEP</vt:lpstr>
      <vt:lpstr>Formulaire!_FORM_CP_STEP_1</vt:lpstr>
      <vt:lpstr>Formulaire!_FORM_CP_STEP_3</vt:lpstr>
      <vt:lpstr>Formulaire!_FORM_DATA</vt:lpstr>
      <vt:lpstr>Formulaire!_FORM_DATE_1</vt:lpstr>
      <vt:lpstr>Formulaire!_FORM_DATE_2</vt:lpstr>
      <vt:lpstr>Formulaire!_FORM_DATE_3</vt:lpstr>
      <vt:lpstr>Formulaire!_FORM_DEFI</vt:lpstr>
      <vt:lpstr>Formulaire!_FORM_NOK_ETAP_2</vt:lpstr>
      <vt:lpstr>Formulaire!_FORM_NOK_ETAP_3</vt:lpstr>
      <vt:lpstr>Formulaire!_FORM_STEP_1</vt:lpstr>
      <vt:lpstr>Formulaire!_FORM_STEP_2</vt:lpstr>
      <vt:lpstr>Formulaire!_FORM_STEP_3</vt:lpstr>
      <vt:lpstr>Formulaire!_FORM_USER</vt:lpstr>
      <vt:lpstr>Formulaire!_FORM_VERROU</vt:lpstr>
      <vt:lpstr>_TYPE_PUBLIC</vt:lpstr>
      <vt:lpstr>Paramètres!_USER</vt:lpstr>
      <vt:lpstr>_VERROUS</vt:lpstr>
      <vt:lpstr>_VS1_DEFI</vt:lpstr>
      <vt:lpstr>_VS1_LIBELLE</vt:lpstr>
      <vt:lpstr>_VS10_DEFI</vt:lpstr>
      <vt:lpstr>_VS10_LIBELLE</vt:lpstr>
      <vt:lpstr>_VS2_DEFI</vt:lpstr>
      <vt:lpstr>_VS2_LIBELLE</vt:lpstr>
      <vt:lpstr>_VS3_DEFI</vt:lpstr>
      <vt:lpstr>_VS3_LIBELLE</vt:lpstr>
      <vt:lpstr>_VS4_DEFI</vt:lpstr>
      <vt:lpstr>_VS4_LIBELLE</vt:lpstr>
      <vt:lpstr>_VS5_DEFI</vt:lpstr>
      <vt:lpstr>_VS5_LIBELLE</vt:lpstr>
      <vt:lpstr>_VS6_DEFI</vt:lpstr>
      <vt:lpstr>_VS6_LIBELLE</vt:lpstr>
      <vt:lpstr>_VS7_DEFI</vt:lpstr>
      <vt:lpstr>_VS7_LIBELLE</vt:lpstr>
      <vt:lpstr>_VS8_DEFI</vt:lpstr>
      <vt:lpstr>_VS8_LIBELLE</vt:lpstr>
      <vt:lpstr>_VS9_DEFI</vt:lpstr>
      <vt:lpstr>_VS9_LIBELLE</vt:lpstr>
    </vt:vector>
  </TitlesOfParts>
  <Manager>MALLARET Pascale</Manager>
  <Company>IFP Energies Nouvelles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Formulaire</dc:title>
  <dc:subject>D.A.P.</dc:subject>
  <dc:creator>BOTELLA Marc</dc:creator>
  <cp:lastModifiedBy>MIMOUNI Daniel</cp:lastModifiedBy>
  <cp:lastPrinted>2018-10-09T08:29:40Z</cp:lastPrinted>
  <dcterms:created xsi:type="dcterms:W3CDTF">2018-10-09T07:01:11Z</dcterms:created>
  <dcterms:modified xsi:type="dcterms:W3CDTF">2023-07-03T14:03:35Z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bugMode">
    <vt:bool>false</vt:bool>
  </property>
  <property fmtid="{D5CDD505-2E9C-101B-9397-08002B2CF9AE}" pid="3" name="Version">
    <vt:lpwstr>1.04</vt:lpwstr>
  </property>
  <property fmtid="{D5CDD505-2E9C-101B-9397-08002B2CF9AE}" pid="4" name="Title">
    <vt:lpwstr>FormulaireDAP</vt:lpwstr>
  </property>
  <property fmtid="{D5CDD505-2E9C-101B-9397-08002B2CF9AE}" pid="5" name="Core.QuietMode">
    <vt:bool>false</vt:bool>
  </property>
</Properties>
</file>